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6F31FA9-D278-4365-8100-57E6D1718A87}" xr6:coauthVersionLast="47" xr6:coauthVersionMax="47" xr10:uidLastSave="{00000000-0000-0000-0000-000000000000}"/>
  <bookViews>
    <workbookView xWindow="-120" yWindow="-120" windowWidth="20730" windowHeight="11040" firstSheet="12" activeTab="17" xr2:uid="{BB026A2E-5160-44E0-B3B3-C4DE9E7FD77D}"/>
  </bookViews>
  <sheets>
    <sheet name="Advances_Flats" sheetId="12" r:id="rId1"/>
    <sheet name="201" sheetId="1" r:id="rId2"/>
    <sheet name="202" sheetId="2" r:id="rId3"/>
    <sheet name="301" sheetId="3" r:id="rId4"/>
    <sheet name="302" sheetId="4" r:id="rId5"/>
    <sheet name="401" sheetId="5" r:id="rId6"/>
    <sheet name="402" sheetId="6" r:id="rId7"/>
    <sheet name="501" sheetId="7" r:id="rId8"/>
    <sheet name="502" sheetId="8" r:id="rId9"/>
    <sheet name="Power Bills" sheetId="16" r:id="rId10"/>
    <sheet name="Oct_Rents" sheetId="10" r:id="rId11"/>
    <sheet name="Sept_Rents" sheetId="11" r:id="rId12"/>
    <sheet name="Nov_Rents" sheetId="15" r:id="rId13"/>
    <sheet name="Dec_Rents" sheetId="17" r:id="rId14"/>
    <sheet name="Jan-25" sheetId="18" r:id="rId15"/>
    <sheet name="Feb-25" sheetId="19" r:id="rId16"/>
    <sheet name="March-25" sheetId="20" r:id="rId17"/>
    <sheet name="Expenditures" sheetId="9" r:id="rId18"/>
    <sheet name="Sheet2" sheetId="14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9" l="1"/>
  <c r="B10" i="19"/>
  <c r="B10" i="18"/>
  <c r="B10" i="17"/>
  <c r="B10" i="15"/>
  <c r="B10" i="12"/>
  <c r="B10" i="11"/>
  <c r="B10" i="10"/>
  <c r="F2" i="9"/>
  <c r="D2" i="9"/>
  <c r="G2" i="9" l="1"/>
</calcChain>
</file>

<file path=xl/sharedStrings.xml><?xml version="1.0" encoding="utf-8"?>
<sst xmlns="http://schemas.openxmlformats.org/spreadsheetml/2006/main" count="358" uniqueCount="122">
  <si>
    <t>Name</t>
  </si>
  <si>
    <t>Mobile Number</t>
  </si>
  <si>
    <t>Date</t>
  </si>
  <si>
    <t>Advance</t>
  </si>
  <si>
    <t>Sharath Reddy</t>
  </si>
  <si>
    <t>Jani</t>
  </si>
  <si>
    <t>Gopal</t>
  </si>
  <si>
    <t>Details</t>
  </si>
  <si>
    <t>Amount</t>
  </si>
  <si>
    <t>Flexi Printing</t>
  </si>
  <si>
    <t>Watchmen</t>
  </si>
  <si>
    <t>Rent paid date</t>
  </si>
  <si>
    <t>Month</t>
  </si>
  <si>
    <t>September</t>
  </si>
  <si>
    <t>Rent Paid to</t>
  </si>
  <si>
    <t>Advance Paid to</t>
  </si>
  <si>
    <t>Sudhakar</t>
  </si>
  <si>
    <t>Sept</t>
  </si>
  <si>
    <t>Total Advance Paid</t>
  </si>
  <si>
    <t>6000(6 days rent)</t>
  </si>
  <si>
    <t>Roads</t>
  </si>
  <si>
    <t>PowerBill - Sudhakar</t>
  </si>
  <si>
    <t>Ramachandra</t>
  </si>
  <si>
    <t>Gopal(Paid to Ravi)</t>
  </si>
  <si>
    <t>Rent Paid To</t>
  </si>
  <si>
    <t>Uttej</t>
  </si>
  <si>
    <t>Total Amount Received by Jani</t>
  </si>
  <si>
    <t>Balanace</t>
  </si>
  <si>
    <t>Total amount received as advance</t>
  </si>
  <si>
    <t>Total amount received as Rent</t>
  </si>
  <si>
    <t>Kalyan</t>
  </si>
  <si>
    <t>Gopal(Naveed Ali)</t>
  </si>
  <si>
    <t>oct</t>
  </si>
  <si>
    <t>Comments</t>
  </si>
  <si>
    <t>They are vacating in Feb month so paid only one month advance -25K</t>
  </si>
  <si>
    <t>Oct</t>
  </si>
  <si>
    <t>1K They spent for KEY so 27-1=26k Paid as rent</t>
  </si>
  <si>
    <t>Sent to Chenna Reddy(Gopal)</t>
  </si>
  <si>
    <t>Carpenter</t>
  </si>
  <si>
    <t>Krishna</t>
  </si>
  <si>
    <t>L-Clamp</t>
  </si>
  <si>
    <t>Expenses Toatal</t>
  </si>
  <si>
    <t>Amounts Received by Jani</t>
  </si>
  <si>
    <t>Flat_Num</t>
  </si>
  <si>
    <t>Total</t>
  </si>
  <si>
    <t>Advance Amount</t>
  </si>
  <si>
    <t>Received By</t>
  </si>
  <si>
    <t>Jani/Sudhakar - (27000/25000)</t>
  </si>
  <si>
    <t>Gopal/Jani - (25000/25000)</t>
  </si>
  <si>
    <t>October</t>
  </si>
  <si>
    <t>Overall Amount received Jani</t>
  </si>
  <si>
    <t>Overall Amount received Gopal</t>
  </si>
  <si>
    <t>Watchme Salary</t>
  </si>
  <si>
    <t>DustBin</t>
  </si>
  <si>
    <t>12-10-204</t>
  </si>
  <si>
    <t>Ower Rent Payment - October</t>
  </si>
  <si>
    <t>Kiran</t>
  </si>
  <si>
    <t>Rod Cups</t>
  </si>
  <si>
    <t>J</t>
  </si>
  <si>
    <t>B</t>
  </si>
  <si>
    <t>Gopal has to pay</t>
  </si>
  <si>
    <t>if 302 pays 27000</t>
  </si>
  <si>
    <t>After the closings</t>
  </si>
  <si>
    <t xml:space="preserve">Paid 26K as advance but 5k paid to broker so 21k received by Gopal </t>
  </si>
  <si>
    <t>Nov</t>
  </si>
  <si>
    <t>200 For duplicate key</t>
  </si>
  <si>
    <t>Hangers,Towel Rods</t>
  </si>
  <si>
    <t>Sink waste Coupling</t>
  </si>
  <si>
    <t>Pipe</t>
  </si>
  <si>
    <t>Plumber</t>
  </si>
  <si>
    <t xml:space="preserve">Nov </t>
  </si>
  <si>
    <t>But its for my self as we adjusted the amount in the accounts</t>
  </si>
  <si>
    <t>Watchmen Salary</t>
  </si>
  <si>
    <t>Dust Bin</t>
  </si>
  <si>
    <t xml:space="preserve">401 Key </t>
  </si>
  <si>
    <t>Rent-Owner</t>
  </si>
  <si>
    <t>Total Rents</t>
  </si>
  <si>
    <t>Expenditures</t>
  </si>
  <si>
    <t>Balance</t>
  </si>
  <si>
    <t>Gopal balance amout</t>
  </si>
  <si>
    <t>37625 - 21700</t>
  </si>
  <si>
    <t>I have to pay to Gopal</t>
  </si>
  <si>
    <t>roads</t>
  </si>
  <si>
    <t>Flat No</t>
  </si>
  <si>
    <t>Actual Amount</t>
  </si>
  <si>
    <t>Power Bill</t>
  </si>
  <si>
    <t>Paid By Jani With CC - Raki</t>
  </si>
  <si>
    <t>Transferred to Owner</t>
  </si>
  <si>
    <t>Curtains Roads</t>
  </si>
  <si>
    <t>Rent</t>
  </si>
  <si>
    <t>Power Bills Received</t>
  </si>
  <si>
    <t>Total power bill paid</t>
  </si>
  <si>
    <t>Power Bill paid By Gopal</t>
  </si>
  <si>
    <t>2139 each</t>
  </si>
  <si>
    <t>Power Bill Balance</t>
  </si>
  <si>
    <t>Last Month Balanace</t>
  </si>
  <si>
    <t>Power_Bills_Nov-Dec</t>
  </si>
  <si>
    <t>201 - Curtain Roads</t>
  </si>
  <si>
    <t>Roads,hanger,bath towel roads</t>
  </si>
  <si>
    <t>Salary</t>
  </si>
  <si>
    <t>sweeper</t>
  </si>
  <si>
    <t>power bill</t>
  </si>
  <si>
    <t>water bill</t>
  </si>
  <si>
    <t>Rents</t>
  </si>
  <si>
    <t>Powerbills</t>
  </si>
  <si>
    <t>plumbing</t>
  </si>
  <si>
    <t>key+cleaning</t>
  </si>
  <si>
    <t>402 plumbing</t>
  </si>
  <si>
    <t>water tanker</t>
  </si>
  <si>
    <t>Bromstik</t>
  </si>
  <si>
    <t>Plumbing</t>
  </si>
  <si>
    <t>Comman Power Bill</t>
  </si>
  <si>
    <t>adjusted</t>
  </si>
  <si>
    <t>Power Bills</t>
  </si>
  <si>
    <t>Expences</t>
  </si>
  <si>
    <t>302-Geyser Water issue</t>
  </si>
  <si>
    <t>402-Curtain Roads</t>
  </si>
  <si>
    <t>301-Geyser Water issue</t>
  </si>
  <si>
    <t>401-Plumbing issues</t>
  </si>
  <si>
    <t>402-Curtain Roads - labour charges</t>
  </si>
  <si>
    <t>water tankers</t>
  </si>
  <si>
    <t>302 last month balance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</si>
</sst>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0" fillId="0" borderId="1" xfId="0" applyBorder="1"/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2" fillId="2" borderId="0" xfId="0" applyFont="1" applyFill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2" fillId="0" borderId="1" xfId="0" applyFont="1" applyBorder="1"/>
    <xf numFmtId="0" fontId="12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 vertical="center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611C-6742-4EA1-870F-A841E6DA3500}">
  <dimension ref="A1:G10"/>
  <sheetViews>
    <sheetView workbookViewId="0">
      <selection activeCell="G12" sqref="G12"/>
    </sheetView>
  </sheetViews>
  <sheetFormatPr defaultRowHeight="15" x14ac:dyDescent="0.25"/>
  <cols>
    <col min="1" max="1" width="12.85546875" style="6" bestFit="1" customWidth="1"/>
    <col min="2" max="2" width="22" style="6" bestFit="1" customWidth="1"/>
    <col min="3" max="3" width="28" style="6" bestFit="1" customWidth="1"/>
    <col min="4" max="4" width="17.28515625" style="6" customWidth="1"/>
    <col min="5" max="16384" width="9.140625" style="6"/>
  </cols>
  <sheetData>
    <row r="1" spans="1:7" ht="21" x14ac:dyDescent="0.25">
      <c r="A1" s="19" t="s">
        <v>43</v>
      </c>
      <c r="B1" s="19" t="s">
        <v>45</v>
      </c>
      <c r="C1" s="19" t="s">
        <v>46</v>
      </c>
      <c r="D1" s="19"/>
    </row>
    <row r="2" spans="1:7" ht="18.75" x14ac:dyDescent="0.25">
      <c r="A2" s="20">
        <v>201</v>
      </c>
      <c r="B2" s="20">
        <v>50000</v>
      </c>
      <c r="C2" s="6" t="s">
        <v>5</v>
      </c>
    </row>
    <row r="3" spans="1:7" ht="18.75" x14ac:dyDescent="0.25">
      <c r="A3" s="20">
        <v>202</v>
      </c>
      <c r="B3" s="20"/>
    </row>
    <row r="4" spans="1:7" ht="18.75" x14ac:dyDescent="0.25">
      <c r="A4" s="20">
        <v>301</v>
      </c>
      <c r="B4" s="20">
        <v>26000</v>
      </c>
      <c r="C4" s="6" t="s">
        <v>6</v>
      </c>
      <c r="G4" s="6">
        <v>104000</v>
      </c>
    </row>
    <row r="5" spans="1:7" ht="18.75" x14ac:dyDescent="0.25">
      <c r="A5" s="20">
        <v>302</v>
      </c>
      <c r="B5" s="20">
        <v>8000</v>
      </c>
      <c r="C5" s="6" t="s">
        <v>6</v>
      </c>
      <c r="G5" s="6">
        <v>50000</v>
      </c>
    </row>
    <row r="6" spans="1:7" ht="18.75" x14ac:dyDescent="0.25">
      <c r="A6" s="20">
        <v>401</v>
      </c>
      <c r="B6" s="20">
        <v>25000</v>
      </c>
      <c r="C6" s="6" t="s">
        <v>6</v>
      </c>
      <c r="G6" s="6">
        <v>25000</v>
      </c>
    </row>
    <row r="7" spans="1:7" ht="18.75" x14ac:dyDescent="0.25">
      <c r="A7" s="20">
        <v>402</v>
      </c>
      <c r="B7" s="20">
        <v>50000</v>
      </c>
      <c r="C7" s="6" t="s">
        <v>48</v>
      </c>
      <c r="G7" s="6">
        <v>27000</v>
      </c>
    </row>
    <row r="8" spans="1:7" ht="18.75" x14ac:dyDescent="0.25">
      <c r="A8" s="20">
        <v>501</v>
      </c>
      <c r="B8" s="20">
        <v>52000</v>
      </c>
      <c r="C8" s="6" t="s">
        <v>47</v>
      </c>
      <c r="G8" s="6">
        <v>25000</v>
      </c>
    </row>
    <row r="9" spans="1:7" ht="18.75" x14ac:dyDescent="0.25">
      <c r="A9" s="20">
        <v>502</v>
      </c>
      <c r="B9" s="20">
        <v>25000</v>
      </c>
      <c r="C9" s="6" t="s">
        <v>5</v>
      </c>
      <c r="G9" s="6">
        <v>231000</v>
      </c>
    </row>
    <row r="10" spans="1:7" ht="26.25" x14ac:dyDescent="0.25">
      <c r="A10" s="21" t="s">
        <v>44</v>
      </c>
      <c r="B10" s="22">
        <f>SUM(B2:B9)</f>
        <v>236000</v>
      </c>
      <c r="F10" s="6" t="s">
        <v>27</v>
      </c>
      <c r="G10" s="6">
        <v>139204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7CD9-7BD1-43B1-9477-7509084B1904}">
  <dimension ref="A1:M19"/>
  <sheetViews>
    <sheetView workbookViewId="0">
      <selection activeCell="J4" sqref="J4"/>
    </sheetView>
  </sheetViews>
  <sheetFormatPr defaultRowHeight="15" x14ac:dyDescent="0.25"/>
  <cols>
    <col min="1" max="1" width="13.7109375" style="5" bestFit="1" customWidth="1"/>
    <col min="2" max="2" width="18.85546875" style="5" bestFit="1" customWidth="1"/>
    <col min="3" max="3" width="11.85546875" style="5" bestFit="1" customWidth="1"/>
    <col min="4" max="4" width="11" style="5" bestFit="1" customWidth="1"/>
    <col min="5" max="5" width="19.140625" style="5" bestFit="1" customWidth="1"/>
    <col min="6" max="6" width="8.5703125" style="5" customWidth="1"/>
    <col min="7" max="7" width="10.28515625" style="5" bestFit="1" customWidth="1"/>
    <col min="8" max="8" width="17.7109375" style="5" bestFit="1" customWidth="1"/>
    <col min="9" max="9" width="10.28515625" style="5" bestFit="1" customWidth="1"/>
    <col min="10" max="10" width="14.7109375" style="5" bestFit="1" customWidth="1"/>
    <col min="11" max="11" width="39.7109375" style="5" bestFit="1" customWidth="1"/>
    <col min="12" max="12" width="35.5703125" style="5" bestFit="1" customWidth="1"/>
    <col min="13" max="13" width="36.5703125" style="5" bestFit="1" customWidth="1"/>
    <col min="14" max="16384" width="9.140625" style="5"/>
  </cols>
  <sheetData>
    <row r="1" spans="1:13" ht="18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/>
      <c r="G1" s="3" t="s">
        <v>12</v>
      </c>
      <c r="H1" s="3" t="s">
        <v>11</v>
      </c>
      <c r="I1" s="3" t="s">
        <v>8</v>
      </c>
      <c r="J1" s="3" t="s">
        <v>14</v>
      </c>
      <c r="K1" s="3" t="s">
        <v>28</v>
      </c>
      <c r="L1" s="3" t="s">
        <v>50</v>
      </c>
      <c r="M1" s="3" t="s">
        <v>51</v>
      </c>
    </row>
    <row r="2" spans="1:13" ht="15.75" x14ac:dyDescent="0.25">
      <c r="A2" s="7" t="s">
        <v>4</v>
      </c>
      <c r="B2" s="7">
        <v>7550172842</v>
      </c>
      <c r="C2" s="8">
        <v>45556</v>
      </c>
      <c r="D2" s="7">
        <v>50000</v>
      </c>
      <c r="E2" s="7" t="s">
        <v>5</v>
      </c>
      <c r="F2" s="7"/>
      <c r="G2" s="7" t="s">
        <v>13</v>
      </c>
      <c r="H2" s="8">
        <v>45545</v>
      </c>
      <c r="I2" s="7">
        <v>25000</v>
      </c>
      <c r="J2" s="7" t="s">
        <v>6</v>
      </c>
      <c r="K2" s="5">
        <v>50000</v>
      </c>
      <c r="L2" s="5">
        <v>77000</v>
      </c>
      <c r="M2" s="5">
        <v>25000</v>
      </c>
    </row>
    <row r="3" spans="1:13" ht="15.75" x14ac:dyDescent="0.25">
      <c r="A3" s="7"/>
      <c r="B3" s="7"/>
      <c r="C3" s="7"/>
      <c r="D3" s="7"/>
      <c r="E3" s="7"/>
      <c r="F3" s="7"/>
      <c r="G3" s="7" t="s">
        <v>49</v>
      </c>
      <c r="H3" s="8">
        <v>45575</v>
      </c>
      <c r="I3" s="7">
        <v>27000</v>
      </c>
      <c r="J3" s="7" t="s">
        <v>5</v>
      </c>
    </row>
    <row r="4" spans="1:13" ht="15.75" x14ac:dyDescent="0.25">
      <c r="A4" s="7"/>
      <c r="B4" s="7"/>
      <c r="C4" s="7"/>
      <c r="D4" s="7"/>
      <c r="E4" s="7"/>
      <c r="F4" s="7"/>
      <c r="G4" s="7" t="s">
        <v>64</v>
      </c>
      <c r="H4" s="8">
        <v>45606</v>
      </c>
      <c r="I4" s="7">
        <v>27000</v>
      </c>
      <c r="J4" s="7" t="s">
        <v>5</v>
      </c>
    </row>
    <row r="5" spans="1:13" ht="15.75" x14ac:dyDescent="0.25">
      <c r="A5" s="7"/>
      <c r="B5" s="7"/>
      <c r="C5" s="7"/>
      <c r="D5" s="7"/>
      <c r="E5" s="7"/>
      <c r="F5" s="7"/>
      <c r="G5" s="7"/>
      <c r="H5" s="7"/>
      <c r="I5" s="7"/>
      <c r="J5" s="7"/>
    </row>
    <row r="6" spans="1:13" ht="15.75" x14ac:dyDescent="0.25">
      <c r="A6" s="7"/>
      <c r="B6" s="7"/>
      <c r="C6" s="7"/>
      <c r="D6" s="7"/>
      <c r="E6" s="7"/>
      <c r="F6" s="7"/>
      <c r="G6" s="7"/>
      <c r="H6" s="7"/>
      <c r="I6" s="7"/>
      <c r="J6" s="7"/>
    </row>
    <row r="7" spans="1:13" ht="15.75" x14ac:dyDescent="0.25">
      <c r="A7" s="7"/>
      <c r="B7" s="7"/>
      <c r="C7" s="7"/>
      <c r="D7" s="7"/>
      <c r="E7" s="7"/>
      <c r="F7" s="7"/>
      <c r="G7" s="7"/>
      <c r="H7" s="7"/>
      <c r="I7" s="7"/>
      <c r="J7" s="7"/>
    </row>
    <row r="8" spans="1:13" ht="15.75" x14ac:dyDescent="0.25">
      <c r="A8" s="7"/>
      <c r="B8" s="7"/>
      <c r="C8" s="7"/>
      <c r="D8" s="7"/>
      <c r="E8" s="7"/>
      <c r="F8" s="7"/>
      <c r="G8" s="7"/>
      <c r="H8" s="7"/>
      <c r="I8" s="7"/>
      <c r="J8" s="7"/>
    </row>
    <row r="9" spans="1:13" ht="15.75" x14ac:dyDescent="0.25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3" ht="15.75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3" ht="15.75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3" ht="15.75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3" ht="15.75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3" ht="15.75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3" ht="15.75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3" ht="15.75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ht="15.75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 ht="15.75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ht="15.75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3EEF-2C72-4FB5-A631-262A3322FCFF}">
  <dimension ref="A1:N4"/>
  <sheetViews>
    <sheetView workbookViewId="0">
      <selection activeCell="D3" sqref="D3"/>
    </sheetView>
  </sheetViews>
  <sheetFormatPr defaultRowHeight="15" x14ac:dyDescent="0.25"/>
  <cols>
    <col min="1" max="1" width="7.85546875" style="6" bestFit="1" customWidth="1"/>
    <col min="2" max="2" width="18.7109375" style="6" bestFit="1" customWidth="1"/>
    <col min="3" max="3" width="10.42578125" style="6" bestFit="1" customWidth="1"/>
    <col min="4" max="4" width="10.85546875" style="6" bestFit="1" customWidth="1"/>
    <col min="5" max="5" width="19.140625" style="6" bestFit="1" customWidth="1"/>
    <col min="6" max="6" width="6.28515625" style="6" customWidth="1"/>
    <col min="7" max="7" width="8.42578125" style="6" bestFit="1" customWidth="1"/>
    <col min="8" max="8" width="17.5703125" style="6" bestFit="1" customWidth="1"/>
    <col min="9" max="9" width="10.140625" style="6" bestFit="1" customWidth="1"/>
    <col min="10" max="10" width="14.7109375" style="6" bestFit="1" customWidth="1"/>
    <col min="11" max="11" width="39.7109375" style="6" bestFit="1" customWidth="1"/>
    <col min="12" max="12" width="35.5703125" style="6" bestFit="1" customWidth="1"/>
    <col min="13" max="13" width="34.28515625" style="6" bestFit="1" customWidth="1"/>
    <col min="14" max="14" width="61.42578125" style="6" bestFit="1" customWidth="1"/>
    <col min="15" max="16384" width="9.140625" style="6"/>
  </cols>
  <sheetData>
    <row r="1" spans="1:14" ht="18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/>
      <c r="G1" s="3" t="s">
        <v>12</v>
      </c>
      <c r="H1" s="3" t="s">
        <v>11</v>
      </c>
      <c r="I1" s="3" t="s">
        <v>8</v>
      </c>
      <c r="J1" s="3" t="s">
        <v>14</v>
      </c>
      <c r="K1" s="3" t="s">
        <v>28</v>
      </c>
      <c r="L1" s="3" t="s">
        <v>50</v>
      </c>
      <c r="M1" s="3" t="s">
        <v>50</v>
      </c>
      <c r="N1" s="3" t="s">
        <v>33</v>
      </c>
    </row>
    <row r="2" spans="1:14" x14ac:dyDescent="0.25">
      <c r="C2" s="13">
        <v>45582</v>
      </c>
      <c r="D2" s="6">
        <v>21000</v>
      </c>
      <c r="E2" s="6" t="s">
        <v>6</v>
      </c>
      <c r="N2" s="5" t="s">
        <v>63</v>
      </c>
    </row>
    <row r="3" spans="1:14" x14ac:dyDescent="0.25">
      <c r="C3" s="13">
        <v>45598</v>
      </c>
      <c r="D3" s="6">
        <v>26000</v>
      </c>
      <c r="E3" s="6" t="s">
        <v>5</v>
      </c>
    </row>
    <row r="4" spans="1:14" x14ac:dyDescent="0.25">
      <c r="G4" s="6" t="s">
        <v>70</v>
      </c>
      <c r="H4" s="13">
        <v>45599</v>
      </c>
      <c r="I4" s="6">
        <v>26000</v>
      </c>
      <c r="J4" s="6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5F0AE-F6E8-4422-89F0-745C883C8696}">
  <dimension ref="A1:M3"/>
  <sheetViews>
    <sheetView topLeftCell="D1" workbookViewId="0">
      <selection activeCell="K3" sqref="K3"/>
    </sheetView>
  </sheetViews>
  <sheetFormatPr defaultRowHeight="15.75" x14ac:dyDescent="0.25"/>
  <cols>
    <col min="1" max="1" width="7.85546875" style="7" bestFit="1" customWidth="1"/>
    <col min="2" max="2" width="18.7109375" style="7" bestFit="1" customWidth="1"/>
    <col min="3" max="3" width="11.85546875" style="7" bestFit="1" customWidth="1"/>
    <col min="4" max="4" width="11" style="7" bestFit="1" customWidth="1"/>
    <col min="5" max="5" width="19.140625" style="7" bestFit="1" customWidth="1"/>
    <col min="6" max="6" width="19.140625" style="7" customWidth="1"/>
    <col min="7" max="7" width="8.42578125" style="7" bestFit="1" customWidth="1"/>
    <col min="8" max="8" width="17.5703125" style="7" bestFit="1" customWidth="1"/>
    <col min="9" max="9" width="10.140625" style="7" bestFit="1" customWidth="1"/>
    <col min="10" max="10" width="18.5703125" style="7" bestFit="1" customWidth="1"/>
    <col min="11" max="12" width="39.7109375" style="7" bestFit="1" customWidth="1"/>
    <col min="13" max="13" width="34.28515625" style="7" bestFit="1" customWidth="1"/>
    <col min="14" max="16384" width="9.140625" style="7"/>
  </cols>
  <sheetData>
    <row r="1" spans="1:13" s="5" customFormat="1" ht="18.75" x14ac:dyDescent="0.25">
      <c r="A1" s="3" t="s">
        <v>0</v>
      </c>
      <c r="B1" s="3" t="s">
        <v>1</v>
      </c>
      <c r="C1" s="3" t="s">
        <v>2</v>
      </c>
      <c r="D1" s="3" t="s">
        <v>3</v>
      </c>
      <c r="E1" s="2" t="s">
        <v>15</v>
      </c>
      <c r="F1" s="2"/>
      <c r="G1" s="3" t="s">
        <v>12</v>
      </c>
      <c r="H1" s="3" t="s">
        <v>11</v>
      </c>
      <c r="I1" s="3" t="s">
        <v>8</v>
      </c>
      <c r="J1" s="3" t="s">
        <v>24</v>
      </c>
      <c r="K1" s="3" t="s">
        <v>28</v>
      </c>
      <c r="L1" s="3" t="s">
        <v>50</v>
      </c>
      <c r="M1" s="3" t="s">
        <v>51</v>
      </c>
    </row>
    <row r="2" spans="1:13" x14ac:dyDescent="0.25">
      <c r="C2" s="8">
        <v>45565</v>
      </c>
      <c r="D2" s="7">
        <v>26000</v>
      </c>
      <c r="E2" s="7" t="s">
        <v>23</v>
      </c>
      <c r="H2" s="8"/>
      <c r="K2" s="7">
        <v>26000</v>
      </c>
      <c r="M2" s="7">
        <v>26000</v>
      </c>
    </row>
    <row r="3" spans="1:13" x14ac:dyDescent="0.25">
      <c r="C3" s="8">
        <v>45580</v>
      </c>
      <c r="D3" s="7">
        <v>26000</v>
      </c>
      <c r="E3" s="7" t="s">
        <v>23</v>
      </c>
      <c r="K3" s="7">
        <v>26000</v>
      </c>
      <c r="M3" s="7">
        <v>26000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97C8-5FD2-432D-B1B3-A91A27A3C8E3}">
  <dimension ref="A1:M7"/>
  <sheetViews>
    <sheetView topLeftCell="B1" workbookViewId="0">
      <selection activeCell="I12" sqref="I12"/>
    </sheetView>
  </sheetViews>
  <sheetFormatPr defaultRowHeight="15" x14ac:dyDescent="0.25"/>
  <cols>
    <col min="1" max="1" width="7.85546875" style="6" bestFit="1" customWidth="1"/>
    <col min="2" max="2" width="18.7109375" style="6" bestFit="1" customWidth="1"/>
    <col min="3" max="3" width="11.85546875" style="6" bestFit="1" customWidth="1"/>
    <col min="4" max="4" width="13.7109375" style="6" bestFit="1" customWidth="1"/>
    <col min="5" max="5" width="22.5703125" style="6" customWidth="1"/>
    <col min="6" max="6" width="16.140625" style="6" bestFit="1" customWidth="1"/>
    <col min="7" max="7" width="13.140625" style="6" customWidth="1"/>
    <col min="8" max="8" width="17.5703125" style="6" bestFit="1" customWidth="1"/>
    <col min="9" max="9" width="10.140625" style="6" bestFit="1" customWidth="1"/>
    <col min="10" max="10" width="18.5703125" style="6" bestFit="1" customWidth="1"/>
    <col min="11" max="11" width="39.7109375" style="6" bestFit="1" customWidth="1"/>
    <col min="12" max="12" width="35.5703125" style="6" bestFit="1" customWidth="1"/>
    <col min="13" max="13" width="36.5703125" style="6" bestFit="1" customWidth="1"/>
    <col min="14" max="16384" width="9.140625" style="6"/>
  </cols>
  <sheetData>
    <row r="1" spans="1:13" ht="18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/>
      <c r="G1" s="3" t="s">
        <v>12</v>
      </c>
      <c r="H1" s="3" t="s">
        <v>11</v>
      </c>
      <c r="I1" s="3" t="s">
        <v>8</v>
      </c>
      <c r="J1" s="3" t="s">
        <v>14</v>
      </c>
      <c r="K1" s="3" t="s">
        <v>28</v>
      </c>
      <c r="L1" s="3" t="s">
        <v>50</v>
      </c>
      <c r="M1" s="3" t="s">
        <v>51</v>
      </c>
    </row>
    <row r="2" spans="1:13" ht="15.75" x14ac:dyDescent="0.25">
      <c r="A2" s="6" t="s">
        <v>56</v>
      </c>
      <c r="C2" s="8">
        <v>45523</v>
      </c>
      <c r="D2" s="7">
        <v>8000</v>
      </c>
      <c r="E2" s="7" t="s">
        <v>6</v>
      </c>
      <c r="F2" s="7"/>
      <c r="K2" s="6">
        <v>8000</v>
      </c>
      <c r="M2" s="6">
        <v>33000</v>
      </c>
    </row>
    <row r="3" spans="1:13" ht="15.75" x14ac:dyDescent="0.25">
      <c r="C3" s="13"/>
      <c r="G3" s="6" t="s">
        <v>17</v>
      </c>
      <c r="H3" s="13">
        <v>45565</v>
      </c>
      <c r="I3" s="6">
        <v>25000</v>
      </c>
      <c r="J3" s="7" t="s">
        <v>23</v>
      </c>
    </row>
    <row r="4" spans="1:13" x14ac:dyDescent="0.25">
      <c r="C4" s="13">
        <v>45580</v>
      </c>
      <c r="D4" s="6">
        <v>32000</v>
      </c>
      <c r="E4" s="6" t="s">
        <v>5</v>
      </c>
      <c r="L4" s="6">
        <v>32000</v>
      </c>
    </row>
    <row r="5" spans="1:13" x14ac:dyDescent="0.25">
      <c r="C5" s="13">
        <v>45583</v>
      </c>
      <c r="D5" s="6">
        <v>10000</v>
      </c>
      <c r="E5" s="6" t="s">
        <v>5</v>
      </c>
    </row>
    <row r="6" spans="1:13" x14ac:dyDescent="0.25">
      <c r="C6" s="13">
        <v>45589</v>
      </c>
      <c r="D6" s="6">
        <v>21000</v>
      </c>
      <c r="E6" s="6" t="s">
        <v>5</v>
      </c>
      <c r="F6" s="6" t="s">
        <v>62</v>
      </c>
      <c r="G6" s="6" t="s">
        <v>71</v>
      </c>
    </row>
    <row r="7" spans="1:13" x14ac:dyDescent="0.25">
      <c r="C7" s="13">
        <v>45593</v>
      </c>
      <c r="D7" s="6">
        <v>6000</v>
      </c>
      <c r="E7" s="6" t="s">
        <v>5</v>
      </c>
      <c r="F7" s="6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8F5B-6D6F-4560-8FFA-F584818C9062}">
  <dimension ref="A1:O10"/>
  <sheetViews>
    <sheetView workbookViewId="0">
      <selection activeCell="I4" sqref="I4"/>
    </sheetView>
  </sheetViews>
  <sheetFormatPr defaultRowHeight="15.75" x14ac:dyDescent="0.25"/>
  <cols>
    <col min="1" max="1" width="7.85546875" style="10" bestFit="1" customWidth="1"/>
    <col min="2" max="2" width="18.7109375" style="10" bestFit="1" customWidth="1"/>
    <col min="3" max="3" width="11.85546875" style="10" bestFit="1" customWidth="1"/>
    <col min="4" max="4" width="10.85546875" style="10" bestFit="1" customWidth="1"/>
    <col min="5" max="5" width="19.140625" style="10" bestFit="1" customWidth="1"/>
    <col min="6" max="6" width="7.42578125" style="10" customWidth="1"/>
    <col min="7" max="7" width="10.5703125" style="10" customWidth="1"/>
    <col min="8" max="8" width="17.5703125" style="10" bestFit="1" customWidth="1"/>
    <col min="9" max="9" width="10.140625" style="10" bestFit="1" customWidth="1"/>
    <col min="10" max="10" width="14.7109375" style="10" bestFit="1" customWidth="1"/>
    <col min="11" max="11" width="39.7109375" style="10" bestFit="1" customWidth="1"/>
    <col min="12" max="12" width="35.5703125" style="10" bestFit="1" customWidth="1"/>
    <col min="13" max="13" width="63.5703125" style="10" bestFit="1" customWidth="1"/>
    <col min="14" max="15" width="34.28515625" style="10" bestFit="1" customWidth="1"/>
    <col min="16" max="16384" width="9.140625" style="10"/>
  </cols>
  <sheetData>
    <row r="1" spans="1:15" s="6" customFormat="1" ht="18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/>
      <c r="G1" s="3" t="s">
        <v>12</v>
      </c>
      <c r="H1" s="3" t="s">
        <v>11</v>
      </c>
      <c r="I1" s="3" t="s">
        <v>8</v>
      </c>
      <c r="J1" s="3" t="s">
        <v>14</v>
      </c>
      <c r="K1" s="3" t="s">
        <v>28</v>
      </c>
      <c r="L1" s="3" t="s">
        <v>29</v>
      </c>
      <c r="M1" s="3" t="s">
        <v>33</v>
      </c>
      <c r="N1" s="3" t="s">
        <v>50</v>
      </c>
      <c r="O1" s="3" t="s">
        <v>51</v>
      </c>
    </row>
    <row r="2" spans="1:15" x14ac:dyDescent="0.25">
      <c r="C2" s="12">
        <v>45545</v>
      </c>
      <c r="D2" s="10">
        <v>25000</v>
      </c>
      <c r="E2" s="10" t="s">
        <v>6</v>
      </c>
      <c r="G2" s="10" t="s">
        <v>17</v>
      </c>
      <c r="H2" s="12">
        <v>45557</v>
      </c>
      <c r="I2" s="10">
        <v>15500</v>
      </c>
      <c r="J2" s="10" t="s">
        <v>22</v>
      </c>
      <c r="K2" s="10">
        <v>25000</v>
      </c>
      <c r="L2" s="10">
        <v>15500</v>
      </c>
      <c r="M2" s="10" t="s">
        <v>34</v>
      </c>
      <c r="N2" s="10">
        <v>26000</v>
      </c>
      <c r="O2" s="10">
        <v>40500</v>
      </c>
    </row>
    <row r="3" spans="1:15" x14ac:dyDescent="0.25">
      <c r="G3" s="10" t="s">
        <v>35</v>
      </c>
      <c r="H3" s="12">
        <v>45567</v>
      </c>
      <c r="I3" s="10">
        <v>25000</v>
      </c>
      <c r="J3" s="10" t="s">
        <v>5</v>
      </c>
      <c r="L3" s="10">
        <v>26000</v>
      </c>
      <c r="M3" s="10" t="s">
        <v>36</v>
      </c>
    </row>
    <row r="4" spans="1:15" x14ac:dyDescent="0.25">
      <c r="G4" s="10" t="s">
        <v>64</v>
      </c>
      <c r="H4" s="12">
        <v>45598</v>
      </c>
      <c r="I4" s="10">
        <v>26800</v>
      </c>
      <c r="J4" s="10" t="s">
        <v>5</v>
      </c>
      <c r="M4" s="10" t="s">
        <v>65</v>
      </c>
    </row>
    <row r="10" spans="1:15" x14ac:dyDescent="0.25">
      <c r="F10" s="10">
        <v>26000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7618-9EDC-462A-A1D5-82A268241829}">
  <dimension ref="A1:M8"/>
  <sheetViews>
    <sheetView workbookViewId="0">
      <selection activeCell="J4" sqref="J4"/>
    </sheetView>
  </sheetViews>
  <sheetFormatPr defaultRowHeight="15" x14ac:dyDescent="0.25"/>
  <cols>
    <col min="1" max="1" width="7.85546875" style="5" bestFit="1" customWidth="1"/>
    <col min="2" max="2" width="18.7109375" style="5" bestFit="1" customWidth="1"/>
    <col min="3" max="3" width="10.42578125" style="5" bestFit="1" customWidth="1"/>
    <col min="4" max="4" width="13.7109375" style="5" bestFit="1" customWidth="1"/>
    <col min="5" max="5" width="19.140625" style="5" bestFit="1" customWidth="1"/>
    <col min="6" max="6" width="10.140625" style="5" customWidth="1"/>
    <col min="7" max="7" width="8.42578125" style="5" bestFit="1" customWidth="1"/>
    <col min="8" max="8" width="17.5703125" style="5" bestFit="1" customWidth="1"/>
    <col min="9" max="9" width="10.140625" style="5" bestFit="1" customWidth="1"/>
    <col min="10" max="10" width="14.7109375" style="5" bestFit="1" customWidth="1"/>
    <col min="11" max="11" width="39.7109375" style="5" bestFit="1" customWidth="1"/>
    <col min="12" max="12" width="35.5703125" style="5" bestFit="1" customWidth="1"/>
    <col min="13" max="13" width="36.5703125" style="5" bestFit="1" customWidth="1"/>
    <col min="14" max="16384" width="9.140625" style="5"/>
  </cols>
  <sheetData>
    <row r="1" spans="1:13" ht="18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/>
      <c r="G1" s="3" t="s">
        <v>12</v>
      </c>
      <c r="H1" s="3" t="s">
        <v>11</v>
      </c>
      <c r="I1" s="3" t="s">
        <v>8</v>
      </c>
      <c r="J1" s="3" t="s">
        <v>14</v>
      </c>
      <c r="K1" s="3" t="s">
        <v>28</v>
      </c>
      <c r="L1" s="3" t="s">
        <v>50</v>
      </c>
      <c r="M1" s="3" t="s">
        <v>51</v>
      </c>
    </row>
    <row r="2" spans="1:13" x14ac:dyDescent="0.25">
      <c r="A2" s="5" t="s">
        <v>30</v>
      </c>
      <c r="C2" s="15">
        <v>45536</v>
      </c>
      <c r="D2" s="5">
        <v>25000</v>
      </c>
      <c r="E2" s="5" t="s">
        <v>31</v>
      </c>
      <c r="G2" s="5" t="s">
        <v>17</v>
      </c>
      <c r="H2" s="15">
        <v>45567</v>
      </c>
      <c r="I2" s="5">
        <v>18000</v>
      </c>
      <c r="J2" s="5" t="s">
        <v>5</v>
      </c>
      <c r="K2" s="5">
        <v>50000</v>
      </c>
      <c r="L2" s="5">
        <v>70000</v>
      </c>
      <c r="M2" s="5">
        <v>25000</v>
      </c>
    </row>
    <row r="3" spans="1:13" x14ac:dyDescent="0.25">
      <c r="C3" s="15">
        <v>45567</v>
      </c>
      <c r="D3" s="5">
        <v>25000</v>
      </c>
      <c r="E3" s="5" t="s">
        <v>5</v>
      </c>
      <c r="G3" s="5" t="s">
        <v>32</v>
      </c>
      <c r="H3" s="15">
        <v>45567</v>
      </c>
      <c r="I3" s="5">
        <v>27000</v>
      </c>
      <c r="J3" s="5" t="s">
        <v>5</v>
      </c>
    </row>
    <row r="4" spans="1:13" x14ac:dyDescent="0.25">
      <c r="G4" s="5" t="s">
        <v>64</v>
      </c>
      <c r="H4" s="15">
        <v>45598</v>
      </c>
      <c r="I4" s="5">
        <v>27000</v>
      </c>
      <c r="J4" s="5" t="s">
        <v>5</v>
      </c>
    </row>
    <row r="8" spans="1:13" x14ac:dyDescent="0.25">
      <c r="E8" s="5">
        <v>70000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14564-4677-44E9-8CF4-861A1745F82D}">
  <dimension ref="A1:N10"/>
  <sheetViews>
    <sheetView workbookViewId="0">
      <selection activeCell="I4" sqref="I4"/>
    </sheetView>
  </sheetViews>
  <sheetFormatPr defaultRowHeight="15" x14ac:dyDescent="0.25"/>
  <cols>
    <col min="1" max="1" width="7.85546875" style="6" bestFit="1" customWidth="1"/>
    <col min="2" max="2" width="18.7109375" style="6" bestFit="1" customWidth="1"/>
    <col min="3" max="3" width="10.42578125" style="6" bestFit="1" customWidth="1"/>
    <col min="4" max="4" width="10.85546875" style="6" bestFit="1" customWidth="1"/>
    <col min="5" max="5" width="19.140625" style="6" bestFit="1" customWidth="1"/>
    <col min="6" max="6" width="8.7109375" style="6" customWidth="1"/>
    <col min="7" max="7" width="8.42578125" style="6" bestFit="1" customWidth="1"/>
    <col min="8" max="8" width="17.5703125" style="6" bestFit="1" customWidth="1"/>
    <col min="9" max="9" width="15.28515625" style="6" bestFit="1" customWidth="1"/>
    <col min="10" max="10" width="14.7109375" style="6" bestFit="1" customWidth="1"/>
    <col min="11" max="11" width="23.28515625" style="6" bestFit="1" customWidth="1"/>
    <col min="12" max="12" width="39.7109375" style="6" bestFit="1" customWidth="1"/>
    <col min="13" max="13" width="35.5703125" style="6" bestFit="1" customWidth="1"/>
    <col min="14" max="14" width="36.5703125" style="6" bestFit="1" customWidth="1"/>
    <col min="15" max="16384" width="9.140625" style="6"/>
  </cols>
  <sheetData>
    <row r="1" spans="1:14" ht="18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/>
      <c r="G1" s="3" t="s">
        <v>12</v>
      </c>
      <c r="H1" s="3" t="s">
        <v>11</v>
      </c>
      <c r="I1" s="3" t="s">
        <v>8</v>
      </c>
      <c r="J1" s="3" t="s">
        <v>14</v>
      </c>
      <c r="K1" s="3" t="s">
        <v>18</v>
      </c>
      <c r="L1" s="3" t="s">
        <v>28</v>
      </c>
      <c r="M1" s="3" t="s">
        <v>50</v>
      </c>
      <c r="N1" s="3" t="s">
        <v>51</v>
      </c>
    </row>
    <row r="2" spans="1:14" x14ac:dyDescent="0.25">
      <c r="A2" s="6" t="s">
        <v>39</v>
      </c>
      <c r="C2" s="13">
        <v>45559</v>
      </c>
      <c r="D2" s="6">
        <v>27000</v>
      </c>
      <c r="E2" s="6" t="s">
        <v>5</v>
      </c>
      <c r="H2" s="13">
        <v>45559</v>
      </c>
      <c r="K2" s="6">
        <v>52000</v>
      </c>
      <c r="L2" s="6">
        <v>52000</v>
      </c>
      <c r="M2" s="6">
        <v>53000</v>
      </c>
      <c r="N2" s="6">
        <v>31000</v>
      </c>
    </row>
    <row r="3" spans="1:14" x14ac:dyDescent="0.25">
      <c r="D3" s="6">
        <v>25000</v>
      </c>
      <c r="E3" s="6" t="s">
        <v>16</v>
      </c>
      <c r="G3" s="6" t="s">
        <v>17</v>
      </c>
      <c r="H3" s="13">
        <v>45559</v>
      </c>
      <c r="I3" s="6" t="s">
        <v>19</v>
      </c>
      <c r="J3" s="6" t="s">
        <v>16</v>
      </c>
    </row>
    <row r="4" spans="1:14" x14ac:dyDescent="0.25">
      <c r="G4" s="6" t="s">
        <v>35</v>
      </c>
      <c r="H4" s="13">
        <v>45567</v>
      </c>
      <c r="I4" s="6">
        <v>26000</v>
      </c>
      <c r="J4" s="6" t="s">
        <v>5</v>
      </c>
    </row>
    <row r="9" spans="1:14" x14ac:dyDescent="0.25">
      <c r="E9" s="6">
        <v>27000</v>
      </c>
    </row>
    <row r="10" spans="1:14" x14ac:dyDescent="0.25">
      <c r="E10" s="6">
        <v>26000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1211-745E-44AC-8ABC-C00D06652CA5}">
  <dimension ref="A1:N13"/>
  <sheetViews>
    <sheetView workbookViewId="0">
      <selection activeCell="G10" sqref="G10"/>
    </sheetView>
  </sheetViews>
  <sheetFormatPr defaultRowHeight="15" x14ac:dyDescent="0.25"/>
  <cols>
    <col min="1" max="1" width="7.85546875" style="5" bestFit="1" customWidth="1"/>
    <col min="2" max="2" width="18.7109375" style="5" bestFit="1" customWidth="1"/>
    <col min="3" max="3" width="10.42578125" style="5" bestFit="1" customWidth="1"/>
    <col min="4" max="4" width="10.85546875" style="5" bestFit="1" customWidth="1"/>
    <col min="5" max="5" width="19.140625" style="5" bestFit="1" customWidth="1"/>
    <col min="6" max="6" width="6" style="5" bestFit="1" customWidth="1"/>
    <col min="7" max="7" width="10.28515625" style="5" customWidth="1"/>
    <col min="8" max="8" width="17.5703125" style="5" bestFit="1" customWidth="1"/>
    <col min="9" max="9" width="10.140625" style="5" bestFit="1" customWidth="1"/>
    <col min="10" max="10" width="14.7109375" style="5" bestFit="1" customWidth="1"/>
    <col min="11" max="11" width="22.5703125" style="5" bestFit="1" customWidth="1"/>
    <col min="12" max="13" width="39.7109375" style="5" bestFit="1" customWidth="1"/>
    <col min="14" max="14" width="36.5703125" style="5" bestFit="1" customWidth="1"/>
    <col min="15" max="16384" width="9.140625" style="5"/>
  </cols>
  <sheetData>
    <row r="1" spans="1:14" ht="18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/>
      <c r="G1" s="3" t="s">
        <v>12</v>
      </c>
      <c r="H1" s="3" t="s">
        <v>11</v>
      </c>
      <c r="I1" s="3" t="s">
        <v>8</v>
      </c>
      <c r="J1" s="3" t="s">
        <v>14</v>
      </c>
      <c r="K1" s="3" t="s">
        <v>18</v>
      </c>
      <c r="L1" s="3" t="s">
        <v>28</v>
      </c>
      <c r="M1" s="3" t="s">
        <v>50</v>
      </c>
      <c r="N1" s="3" t="s">
        <v>51</v>
      </c>
    </row>
    <row r="2" spans="1:14" x14ac:dyDescent="0.25">
      <c r="A2" s="5" t="s">
        <v>25</v>
      </c>
      <c r="B2" s="5">
        <v>8143830621</v>
      </c>
      <c r="C2" s="15">
        <v>45563</v>
      </c>
      <c r="D2" s="5">
        <v>5000</v>
      </c>
      <c r="E2" s="5" t="s">
        <v>5</v>
      </c>
      <c r="K2" s="5">
        <v>25000</v>
      </c>
      <c r="L2" s="5">
        <v>25000</v>
      </c>
      <c r="M2" s="5">
        <v>50000</v>
      </c>
    </row>
    <row r="3" spans="1:14" x14ac:dyDescent="0.25">
      <c r="C3" s="15">
        <v>45567</v>
      </c>
      <c r="D3" s="5">
        <v>45000</v>
      </c>
      <c r="E3" s="5" t="s">
        <v>5</v>
      </c>
      <c r="G3" s="5" t="s">
        <v>35</v>
      </c>
      <c r="H3" s="15">
        <v>45567</v>
      </c>
      <c r="I3" s="5">
        <v>25000</v>
      </c>
      <c r="J3" s="5" t="s">
        <v>5</v>
      </c>
    </row>
    <row r="4" spans="1:14" x14ac:dyDescent="0.25">
      <c r="G4" s="5" t="s">
        <v>64</v>
      </c>
      <c r="H4" s="15">
        <v>45598</v>
      </c>
      <c r="I4" s="5">
        <v>25000</v>
      </c>
      <c r="J4" s="5" t="s">
        <v>5</v>
      </c>
    </row>
    <row r="5" spans="1:14" x14ac:dyDescent="0.25">
      <c r="M5" s="5">
        <v>94000</v>
      </c>
    </row>
    <row r="6" spans="1:14" x14ac:dyDescent="0.25">
      <c r="L6" s="5">
        <v>77000</v>
      </c>
      <c r="M6" s="5">
        <v>25000</v>
      </c>
    </row>
    <row r="7" spans="1:14" x14ac:dyDescent="0.25">
      <c r="L7" s="5">
        <v>26000</v>
      </c>
      <c r="M7" s="5">
        <v>26000</v>
      </c>
    </row>
    <row r="8" spans="1:14" x14ac:dyDescent="0.25">
      <c r="L8" s="5">
        <v>70000</v>
      </c>
      <c r="M8" s="5">
        <v>33000</v>
      </c>
    </row>
    <row r="9" spans="1:14" x14ac:dyDescent="0.25">
      <c r="E9" s="16"/>
      <c r="L9" s="5">
        <v>53000</v>
      </c>
      <c r="M9" s="5">
        <v>40500</v>
      </c>
    </row>
    <row r="10" spans="1:14" x14ac:dyDescent="0.25">
      <c r="L10" s="5">
        <v>50000</v>
      </c>
      <c r="M10" s="5">
        <v>25000</v>
      </c>
    </row>
    <row r="11" spans="1:14" x14ac:dyDescent="0.25">
      <c r="M11" s="5">
        <v>31000</v>
      </c>
    </row>
    <row r="12" spans="1:14" x14ac:dyDescent="0.25">
      <c r="K12" s="25" t="s">
        <v>44</v>
      </c>
      <c r="L12" s="25">
        <v>276000</v>
      </c>
      <c r="M12" s="25">
        <v>274500</v>
      </c>
    </row>
    <row r="13" spans="1:14" x14ac:dyDescent="0.25">
      <c r="L13" s="14">
        <v>120859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DC82D-2ABF-4480-B5A8-A0D7F75F8947}">
  <dimension ref="A1:C10"/>
  <sheetViews>
    <sheetView topLeftCell="A25" workbookViewId="0">
      <selection activeCell="D4" sqref="D4"/>
    </sheetView>
  </sheetViews>
  <sheetFormatPr defaultRowHeight="15" x14ac:dyDescent="0.25"/>
  <cols>
    <col min="1" max="1" width="9.140625" style="1"/>
    <col min="3" max="3" width="14" style="1" bestFit="1" customWidth="1"/>
  </cols>
  <sheetData>
    <row r="1" spans="1:3" x14ac:dyDescent="0.25">
      <c r="A1" s="1" t="s">
        <v>83</v>
      </c>
      <c r="B1" t="s">
        <v>8</v>
      </c>
      <c r="C1" s="1" t="s">
        <v>84</v>
      </c>
    </row>
    <row r="2" spans="1:3" x14ac:dyDescent="0.25">
      <c r="A2" s="1">
        <v>201</v>
      </c>
      <c r="B2">
        <v>1500</v>
      </c>
      <c r="C2" s="1">
        <v>2870</v>
      </c>
    </row>
    <row r="3" spans="1:3" x14ac:dyDescent="0.25">
      <c r="A3" s="1">
        <v>202</v>
      </c>
      <c r="B3">
        <v>0</v>
      </c>
      <c r="C3" s="1">
        <v>500</v>
      </c>
    </row>
    <row r="4" spans="1:3" x14ac:dyDescent="0.25">
      <c r="A4" s="1">
        <v>301</v>
      </c>
      <c r="B4">
        <v>1875</v>
      </c>
      <c r="C4" s="1">
        <v>1875</v>
      </c>
    </row>
    <row r="5" spans="1:3" x14ac:dyDescent="0.25">
      <c r="A5" s="1">
        <v>302</v>
      </c>
      <c r="B5">
        <v>2600</v>
      </c>
      <c r="C5" s="1">
        <v>2600</v>
      </c>
    </row>
    <row r="6" spans="1:3" x14ac:dyDescent="0.25">
      <c r="A6" s="1">
        <v>401</v>
      </c>
      <c r="B6">
        <v>2750</v>
      </c>
      <c r="C6" s="1">
        <v>2750</v>
      </c>
    </row>
    <row r="7" spans="1:3" x14ac:dyDescent="0.25">
      <c r="A7" s="1">
        <v>402</v>
      </c>
      <c r="B7">
        <v>1500</v>
      </c>
      <c r="C7" s="1">
        <v>2666</v>
      </c>
    </row>
    <row r="8" spans="1:3" x14ac:dyDescent="0.25">
      <c r="A8" s="1">
        <v>501</v>
      </c>
      <c r="B8">
        <v>1500</v>
      </c>
      <c r="C8" s="1">
        <v>1575</v>
      </c>
    </row>
    <row r="9" spans="1:3" x14ac:dyDescent="0.25">
      <c r="A9" s="1">
        <v>502</v>
      </c>
      <c r="B9">
        <v>1500</v>
      </c>
      <c r="C9" s="1">
        <v>1500</v>
      </c>
    </row>
    <row r="10" spans="1:3" x14ac:dyDescent="0.25">
      <c r="B10" s="26">
        <v>13225</v>
      </c>
      <c r="C10" s="14">
        <v>16336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7D78-B130-4A98-A626-A5AA7171AA7C}">
  <dimension ref="A1:C10"/>
  <sheetViews>
    <sheetView topLeftCell="A44" workbookViewId="0">
      <selection sqref="A1:C9"/>
    </sheetView>
  </sheetViews>
  <sheetFormatPr defaultRowHeight="15" x14ac:dyDescent="0.25"/>
  <cols>
    <col min="1" max="1" width="12.85546875" style="5" bestFit="1" customWidth="1"/>
    <col min="2" max="2" width="13.7109375" style="5" bestFit="1" customWidth="1"/>
    <col min="3" max="3" width="16" style="5" bestFit="1" customWidth="1"/>
    <col min="4" max="16384" width="9.140625" style="5"/>
  </cols>
  <sheetData>
    <row r="1" spans="1:3" ht="21" x14ac:dyDescent="0.25">
      <c r="A1" s="19" t="s">
        <v>43</v>
      </c>
      <c r="B1" s="19" t="s">
        <v>8</v>
      </c>
      <c r="C1" s="19" t="s">
        <v>46</v>
      </c>
    </row>
    <row r="2" spans="1:3" x14ac:dyDescent="0.25">
      <c r="A2" s="5">
        <v>201</v>
      </c>
    </row>
    <row r="3" spans="1:3" x14ac:dyDescent="0.25">
      <c r="A3" s="5">
        <v>202</v>
      </c>
    </row>
    <row r="4" spans="1:3" x14ac:dyDescent="0.25">
      <c r="A4" s="5">
        <v>301</v>
      </c>
    </row>
    <row r="5" spans="1:3" x14ac:dyDescent="0.25">
      <c r="A5" s="5">
        <v>302</v>
      </c>
    </row>
    <row r="6" spans="1:3" x14ac:dyDescent="0.25">
      <c r="A6" s="5">
        <v>401</v>
      </c>
      <c r="B6" s="5">
        <v>26000</v>
      </c>
      <c r="C6" s="5" t="s">
        <v>5</v>
      </c>
    </row>
    <row r="7" spans="1:3" x14ac:dyDescent="0.25">
      <c r="A7" s="5">
        <v>402</v>
      </c>
      <c r="B7" s="5">
        <v>27000</v>
      </c>
      <c r="C7" s="5" t="s">
        <v>5</v>
      </c>
    </row>
    <row r="8" spans="1:3" x14ac:dyDescent="0.25">
      <c r="A8" s="5">
        <v>501</v>
      </c>
      <c r="B8" s="5">
        <v>26000</v>
      </c>
      <c r="C8" s="5" t="s">
        <v>5</v>
      </c>
    </row>
    <row r="9" spans="1:3" x14ac:dyDescent="0.25">
      <c r="A9" s="5">
        <v>502</v>
      </c>
      <c r="B9" s="5">
        <v>25000</v>
      </c>
      <c r="C9" s="5" t="s">
        <v>5</v>
      </c>
    </row>
    <row r="10" spans="1:3" s="24" customFormat="1" ht="26.25" x14ac:dyDescent="0.25">
      <c r="A10" s="21" t="s">
        <v>44</v>
      </c>
      <c r="B10" s="22">
        <f>SUM(B2:B9)</f>
        <v>104000</v>
      </c>
      <c r="C10" s="2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B95D5-A57B-44A7-9791-2E5E414F977B}">
  <dimension ref="A1:C10"/>
  <sheetViews>
    <sheetView workbookViewId="0">
      <selection sqref="A1:C10"/>
    </sheetView>
  </sheetViews>
  <sheetFormatPr defaultRowHeight="15" x14ac:dyDescent="0.25"/>
  <cols>
    <col min="1" max="1" width="12.85546875" style="5" bestFit="1" customWidth="1"/>
    <col min="2" max="2" width="11.5703125" style="5" bestFit="1" customWidth="1"/>
    <col min="3" max="3" width="16" style="5" bestFit="1" customWidth="1"/>
    <col min="4" max="16384" width="9.140625" style="5"/>
  </cols>
  <sheetData>
    <row r="1" spans="1:3" ht="21" x14ac:dyDescent="0.25">
      <c r="A1" s="19" t="s">
        <v>43</v>
      </c>
      <c r="B1" s="19" t="s">
        <v>8</v>
      </c>
      <c r="C1" s="19" t="s">
        <v>46</v>
      </c>
    </row>
    <row r="2" spans="1:3" ht="18.75" x14ac:dyDescent="0.25">
      <c r="A2" s="20">
        <v>201</v>
      </c>
      <c r="B2" s="20">
        <v>25000</v>
      </c>
      <c r="C2" s="5" t="s">
        <v>6</v>
      </c>
    </row>
    <row r="3" spans="1:3" ht="18.75" x14ac:dyDescent="0.25">
      <c r="A3" s="20">
        <v>202</v>
      </c>
      <c r="B3" s="20"/>
    </row>
    <row r="4" spans="1:3" ht="18.75" x14ac:dyDescent="0.25">
      <c r="A4" s="20">
        <v>301</v>
      </c>
      <c r="B4" s="20"/>
    </row>
    <row r="5" spans="1:3" ht="18.75" x14ac:dyDescent="0.25">
      <c r="A5" s="20">
        <v>302</v>
      </c>
      <c r="B5" s="20">
        <v>25000</v>
      </c>
      <c r="C5" s="5" t="s">
        <v>6</v>
      </c>
    </row>
    <row r="6" spans="1:3" ht="18.75" x14ac:dyDescent="0.25">
      <c r="A6" s="20">
        <v>401</v>
      </c>
      <c r="B6" s="20">
        <v>15500</v>
      </c>
      <c r="C6" s="5" t="s">
        <v>6</v>
      </c>
    </row>
    <row r="7" spans="1:3" ht="18.75" x14ac:dyDescent="0.25">
      <c r="A7" s="20">
        <v>402</v>
      </c>
      <c r="B7" s="20">
        <v>18000</v>
      </c>
      <c r="C7" s="5" t="s">
        <v>6</v>
      </c>
    </row>
    <row r="8" spans="1:3" ht="18.75" x14ac:dyDescent="0.25">
      <c r="A8" s="20">
        <v>501</v>
      </c>
      <c r="B8" s="20">
        <v>6000</v>
      </c>
      <c r="C8" s="5" t="s">
        <v>6</v>
      </c>
    </row>
    <row r="9" spans="1:3" ht="18.75" x14ac:dyDescent="0.25">
      <c r="A9" s="20">
        <v>502</v>
      </c>
      <c r="B9" s="20"/>
    </row>
    <row r="10" spans="1:3" ht="26.25" x14ac:dyDescent="0.25">
      <c r="A10" s="21" t="s">
        <v>44</v>
      </c>
      <c r="B10" s="22">
        <f>SUM(B2:B9)</f>
        <v>89500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B48A-533F-484D-AFAB-0C565E56F601}">
  <dimension ref="A1:O10"/>
  <sheetViews>
    <sheetView workbookViewId="0">
      <selection sqref="A1:B10"/>
    </sheetView>
  </sheetViews>
  <sheetFormatPr defaultRowHeight="15" x14ac:dyDescent="0.25"/>
  <cols>
    <col min="1" max="1" width="12.85546875" bestFit="1" customWidth="1"/>
    <col min="2" max="2" width="13.7109375" bestFit="1" customWidth="1"/>
    <col min="3" max="3" width="16" bestFit="1" customWidth="1"/>
    <col min="11" max="11" width="10.7109375" bestFit="1" customWidth="1"/>
    <col min="13" max="13" width="23.28515625" customWidth="1"/>
    <col min="15" max="15" width="20" bestFit="1" customWidth="1"/>
  </cols>
  <sheetData>
    <row r="1" spans="1:15" ht="21" x14ac:dyDescent="0.25">
      <c r="A1" s="19" t="s">
        <v>43</v>
      </c>
      <c r="B1" s="19" t="s">
        <v>8</v>
      </c>
      <c r="C1" s="19" t="s">
        <v>46</v>
      </c>
    </row>
    <row r="2" spans="1:15" ht="18.75" x14ac:dyDescent="0.25">
      <c r="A2" s="20">
        <v>201</v>
      </c>
      <c r="B2" s="20">
        <v>27000</v>
      </c>
      <c r="C2" s="5" t="s">
        <v>5</v>
      </c>
    </row>
    <row r="3" spans="1:15" ht="18.75" x14ac:dyDescent="0.25">
      <c r="A3" s="20">
        <v>202</v>
      </c>
      <c r="B3" s="20">
        <v>52000</v>
      </c>
      <c r="C3" s="5" t="s">
        <v>5</v>
      </c>
    </row>
    <row r="4" spans="1:15" ht="18.75" x14ac:dyDescent="0.25">
      <c r="A4" s="20">
        <v>301</v>
      </c>
      <c r="B4" s="20">
        <v>43400</v>
      </c>
      <c r="C4" s="5" t="s">
        <v>6</v>
      </c>
    </row>
    <row r="5" spans="1:15" ht="18.75" x14ac:dyDescent="0.25">
      <c r="A5" s="20">
        <v>302</v>
      </c>
      <c r="B5" s="20"/>
      <c r="C5" s="5" t="s">
        <v>5</v>
      </c>
      <c r="I5" s="20">
        <v>27000</v>
      </c>
    </row>
    <row r="6" spans="1:15" ht="18.75" x14ac:dyDescent="0.25">
      <c r="A6" s="20">
        <v>401</v>
      </c>
      <c r="B6" s="20">
        <v>27000</v>
      </c>
      <c r="C6" s="5" t="s">
        <v>5</v>
      </c>
      <c r="I6" s="20">
        <v>52000</v>
      </c>
      <c r="K6" t="s">
        <v>76</v>
      </c>
      <c r="L6">
        <v>184000</v>
      </c>
    </row>
    <row r="7" spans="1:15" ht="18.75" x14ac:dyDescent="0.25">
      <c r="A7" s="20">
        <v>402</v>
      </c>
      <c r="B7" s="20">
        <v>27000</v>
      </c>
      <c r="C7" s="5" t="s">
        <v>5</v>
      </c>
      <c r="I7" s="20">
        <v>27000</v>
      </c>
      <c r="K7" t="s">
        <v>77</v>
      </c>
      <c r="L7">
        <v>108750</v>
      </c>
    </row>
    <row r="8" spans="1:15" ht="18.75" x14ac:dyDescent="0.25">
      <c r="A8" s="20">
        <v>501</v>
      </c>
      <c r="B8" s="20">
        <v>26000</v>
      </c>
      <c r="C8" s="5" t="s">
        <v>5</v>
      </c>
      <c r="I8" s="20">
        <v>27000</v>
      </c>
      <c r="K8" s="26" t="s">
        <v>78</v>
      </c>
      <c r="L8" s="26">
        <v>75250</v>
      </c>
      <c r="M8">
        <v>37625</v>
      </c>
    </row>
    <row r="9" spans="1:15" ht="18.75" x14ac:dyDescent="0.25">
      <c r="A9" s="20">
        <v>502</v>
      </c>
      <c r="B9" s="20">
        <v>25000</v>
      </c>
      <c r="C9" s="5" t="s">
        <v>5</v>
      </c>
      <c r="I9" s="20">
        <v>26000</v>
      </c>
      <c r="L9">
        <v>43400</v>
      </c>
      <c r="M9">
        <v>21700</v>
      </c>
    </row>
    <row r="10" spans="1:15" ht="26.25" x14ac:dyDescent="0.25">
      <c r="A10" s="21" t="s">
        <v>44</v>
      </c>
      <c r="B10" s="22">
        <f>SUM(B2:B9)</f>
        <v>227400</v>
      </c>
      <c r="C10" s="5"/>
      <c r="I10" s="20">
        <v>25000</v>
      </c>
      <c r="K10" t="s">
        <v>79</v>
      </c>
      <c r="M10" t="s">
        <v>80</v>
      </c>
      <c r="N10">
        <v>15925</v>
      </c>
      <c r="O10" t="s">
        <v>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F6182-BAA1-4830-9118-C99A15DA65F2}">
  <dimension ref="A1:K17"/>
  <sheetViews>
    <sheetView topLeftCell="A8" workbookViewId="0">
      <selection sqref="A1:C10"/>
    </sheetView>
  </sheetViews>
  <sheetFormatPr defaultRowHeight="15" x14ac:dyDescent="0.25"/>
  <cols>
    <col min="1" max="1" width="31.85546875" style="28" customWidth="1"/>
    <col min="2" max="2" width="19.5703125" style="28" bestFit="1" customWidth="1"/>
    <col min="3" max="3" width="16" style="6" bestFit="1" customWidth="1"/>
    <col min="4" max="6" width="9.140625" style="28"/>
    <col min="7" max="7" width="22.7109375" style="28" bestFit="1" customWidth="1"/>
    <col min="8" max="8" width="23.28515625" style="5" customWidth="1"/>
    <col min="9" max="9" width="16.42578125" style="5" customWidth="1"/>
    <col min="10" max="10" width="33.140625" style="28" customWidth="1"/>
    <col min="11" max="16384" width="9.140625" style="28"/>
  </cols>
  <sheetData>
    <row r="1" spans="1:11" ht="21" x14ac:dyDescent="0.25">
      <c r="A1" s="19" t="s">
        <v>43</v>
      </c>
      <c r="B1" s="19" t="s">
        <v>8</v>
      </c>
      <c r="C1" s="19" t="s">
        <v>46</v>
      </c>
      <c r="G1" s="7" t="s">
        <v>90</v>
      </c>
      <c r="H1" s="7">
        <v>13225</v>
      </c>
    </row>
    <row r="2" spans="1:11" ht="18.75" x14ac:dyDescent="0.25">
      <c r="A2" s="20">
        <v>201</v>
      </c>
      <c r="B2" s="20">
        <v>27000</v>
      </c>
      <c r="C2" s="5" t="s">
        <v>5</v>
      </c>
      <c r="G2" s="7" t="s">
        <v>91</v>
      </c>
      <c r="H2" s="7">
        <v>23400</v>
      </c>
    </row>
    <row r="3" spans="1:11" ht="18.75" x14ac:dyDescent="0.25">
      <c r="A3" s="20">
        <v>202</v>
      </c>
      <c r="B3" s="20">
        <v>26000</v>
      </c>
      <c r="C3" s="5" t="s">
        <v>5</v>
      </c>
      <c r="H3" s="16">
        <v>10175</v>
      </c>
      <c r="I3" s="5">
        <v>2500</v>
      </c>
    </row>
    <row r="4" spans="1:11" ht="18.75" x14ac:dyDescent="0.25">
      <c r="A4" s="20">
        <v>301</v>
      </c>
      <c r="B4" s="20">
        <v>25750</v>
      </c>
      <c r="C4" s="5" t="s">
        <v>5</v>
      </c>
    </row>
    <row r="5" spans="1:11" ht="18.75" x14ac:dyDescent="0.25">
      <c r="A5" s="20">
        <v>302</v>
      </c>
      <c r="B5" s="20">
        <v>27000</v>
      </c>
      <c r="C5" s="5" t="s">
        <v>5</v>
      </c>
      <c r="G5" s="8">
        <v>45614</v>
      </c>
      <c r="H5" s="7" t="s">
        <v>38</v>
      </c>
      <c r="I5" s="7">
        <v>1000</v>
      </c>
      <c r="J5" s="5"/>
    </row>
    <row r="6" spans="1:11" ht="18.75" x14ac:dyDescent="0.25">
      <c r="A6" s="20">
        <v>401</v>
      </c>
      <c r="B6" s="20">
        <v>27000</v>
      </c>
      <c r="C6" s="5" t="s">
        <v>5</v>
      </c>
      <c r="G6" s="8">
        <v>45614</v>
      </c>
      <c r="H6" s="7" t="s">
        <v>88</v>
      </c>
      <c r="I6" s="7">
        <v>1030</v>
      </c>
      <c r="J6" s="5"/>
    </row>
    <row r="7" spans="1:11" ht="18.75" x14ac:dyDescent="0.25">
      <c r="A7" s="20">
        <v>402</v>
      </c>
      <c r="B7" s="20">
        <v>27000</v>
      </c>
      <c r="C7" s="5" t="s">
        <v>5</v>
      </c>
      <c r="G7" s="8">
        <v>45621</v>
      </c>
      <c r="H7" s="7" t="s">
        <v>85</v>
      </c>
      <c r="I7" s="5">
        <v>0</v>
      </c>
      <c r="J7" s="16" t="s">
        <v>86</v>
      </c>
      <c r="K7" s="7">
        <v>23400</v>
      </c>
    </row>
    <row r="8" spans="1:11" ht="18.75" x14ac:dyDescent="0.25">
      <c r="A8" s="20">
        <v>501</v>
      </c>
      <c r="B8" s="20">
        <v>26000</v>
      </c>
      <c r="C8" s="5" t="s">
        <v>5</v>
      </c>
      <c r="G8" s="8">
        <v>45621</v>
      </c>
      <c r="H8" s="7" t="s">
        <v>89</v>
      </c>
      <c r="I8" s="7">
        <v>10000</v>
      </c>
      <c r="J8" s="16" t="s">
        <v>87</v>
      </c>
    </row>
    <row r="9" spans="1:11" ht="18.75" x14ac:dyDescent="0.25">
      <c r="A9" s="20">
        <v>502</v>
      </c>
      <c r="B9" s="20">
        <v>25000</v>
      </c>
      <c r="C9" s="5" t="s">
        <v>5</v>
      </c>
      <c r="G9" s="8">
        <v>45635</v>
      </c>
      <c r="H9" s="7" t="s">
        <v>89</v>
      </c>
      <c r="I9" s="7">
        <v>125000</v>
      </c>
    </row>
    <row r="10" spans="1:11" ht="26.25" x14ac:dyDescent="0.25">
      <c r="A10" s="21" t="s">
        <v>44</v>
      </c>
      <c r="B10" s="22">
        <f>SUM(B2:B9)</f>
        <v>210750</v>
      </c>
      <c r="C10" s="5"/>
      <c r="G10" s="8">
        <v>45630</v>
      </c>
      <c r="H10" s="8" t="s">
        <v>72</v>
      </c>
      <c r="I10" s="7">
        <v>5400</v>
      </c>
    </row>
    <row r="11" spans="1:11" ht="26.25" x14ac:dyDescent="0.25">
      <c r="A11" s="21" t="s">
        <v>77</v>
      </c>
      <c r="B11" s="30">
        <v>143530</v>
      </c>
      <c r="F11" s="7"/>
      <c r="G11" s="8">
        <v>45630</v>
      </c>
      <c r="H11" s="8" t="s">
        <v>73</v>
      </c>
      <c r="I11" s="7">
        <v>1100</v>
      </c>
    </row>
    <row r="12" spans="1:11" ht="26.25" x14ac:dyDescent="0.25">
      <c r="A12" s="21" t="s">
        <v>94</v>
      </c>
      <c r="B12" s="29">
        <v>10175</v>
      </c>
      <c r="F12" s="7"/>
      <c r="H12" s="30" t="s">
        <v>44</v>
      </c>
      <c r="I12" s="30">
        <v>143530</v>
      </c>
    </row>
    <row r="13" spans="1:11" ht="26.25" x14ac:dyDescent="0.25">
      <c r="A13" s="21" t="s">
        <v>78</v>
      </c>
      <c r="B13" s="29">
        <v>57045</v>
      </c>
      <c r="C13" s="5">
        <v>28522</v>
      </c>
    </row>
    <row r="14" spans="1:11" x14ac:dyDescent="0.25">
      <c r="C14" s="6">
        <v>2139</v>
      </c>
      <c r="G14" s="28" t="s">
        <v>92</v>
      </c>
      <c r="H14" s="5">
        <v>4277</v>
      </c>
      <c r="I14" s="5" t="s">
        <v>93</v>
      </c>
    </row>
    <row r="15" spans="1:11" x14ac:dyDescent="0.25">
      <c r="C15" s="17">
        <v>30661</v>
      </c>
    </row>
    <row r="16" spans="1:11" x14ac:dyDescent="0.25">
      <c r="B16" s="28" t="s">
        <v>95</v>
      </c>
      <c r="C16" s="6">
        <v>27000</v>
      </c>
    </row>
    <row r="17" spans="3:3" x14ac:dyDescent="0.25">
      <c r="C17" s="6">
        <v>3661</v>
      </c>
    </row>
  </sheetData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1DBAD-4B7A-41B3-A37E-70CCC6E260FF}">
  <dimension ref="A1:L21"/>
  <sheetViews>
    <sheetView topLeftCell="A18" workbookViewId="0">
      <selection activeCell="G8" sqref="G8"/>
    </sheetView>
  </sheetViews>
  <sheetFormatPr defaultRowHeight="15" x14ac:dyDescent="0.25"/>
  <cols>
    <col min="1" max="1" width="12.85546875" bestFit="1" customWidth="1"/>
    <col min="2" max="2" width="13.7109375" bestFit="1" customWidth="1"/>
    <col min="3" max="3" width="16" bestFit="1" customWidth="1"/>
    <col min="6" max="6" width="12.85546875" bestFit="1" customWidth="1"/>
    <col min="7" max="7" width="27.42578125" bestFit="1" customWidth="1"/>
    <col min="8" max="8" width="12" style="1" customWidth="1"/>
  </cols>
  <sheetData>
    <row r="1" spans="1:12" ht="21" x14ac:dyDescent="0.25">
      <c r="A1" s="19" t="s">
        <v>43</v>
      </c>
      <c r="B1" s="19" t="s">
        <v>8</v>
      </c>
      <c r="C1" s="19" t="s">
        <v>46</v>
      </c>
      <c r="G1" s="19" t="s">
        <v>96</v>
      </c>
    </row>
    <row r="2" spans="1:12" ht="21" x14ac:dyDescent="0.25">
      <c r="A2" s="20">
        <v>201</v>
      </c>
      <c r="B2" s="20">
        <v>27000</v>
      </c>
      <c r="C2" s="5" t="s">
        <v>5</v>
      </c>
      <c r="F2" s="19" t="s">
        <v>43</v>
      </c>
      <c r="H2" s="19" t="s">
        <v>8</v>
      </c>
    </row>
    <row r="3" spans="1:12" ht="18.75" x14ac:dyDescent="0.25">
      <c r="A3" s="20">
        <v>202</v>
      </c>
      <c r="B3" s="20">
        <v>26000</v>
      </c>
      <c r="C3" s="5" t="s">
        <v>5</v>
      </c>
      <c r="F3" s="20">
        <v>201</v>
      </c>
      <c r="H3" s="1">
        <v>1000</v>
      </c>
    </row>
    <row r="4" spans="1:12" ht="18.75" x14ac:dyDescent="0.25">
      <c r="A4" s="20">
        <v>301</v>
      </c>
      <c r="B4" s="20">
        <v>26000</v>
      </c>
      <c r="C4" s="5" t="s">
        <v>5</v>
      </c>
      <c r="F4" s="20">
        <v>202</v>
      </c>
      <c r="H4" s="1">
        <v>1000</v>
      </c>
    </row>
    <row r="5" spans="1:12" ht="18.75" x14ac:dyDescent="0.25">
      <c r="A5" s="20">
        <v>302</v>
      </c>
      <c r="B5" s="20">
        <v>17000</v>
      </c>
      <c r="C5" s="5" t="s">
        <v>5</v>
      </c>
      <c r="F5" s="20">
        <v>301</v>
      </c>
      <c r="H5" s="1">
        <v>1700</v>
      </c>
      <c r="I5">
        <v>1764</v>
      </c>
      <c r="L5">
        <v>3229</v>
      </c>
    </row>
    <row r="6" spans="1:12" ht="18.75" x14ac:dyDescent="0.25">
      <c r="A6" s="20">
        <v>401</v>
      </c>
      <c r="B6" s="20"/>
      <c r="C6" s="5" t="s">
        <v>5</v>
      </c>
      <c r="F6" s="20">
        <v>302</v>
      </c>
    </row>
    <row r="7" spans="1:12" ht="18.75" x14ac:dyDescent="0.25">
      <c r="A7" s="20">
        <v>402</v>
      </c>
      <c r="B7" s="20">
        <v>27000</v>
      </c>
      <c r="C7" s="5" t="s">
        <v>5</v>
      </c>
      <c r="F7" s="20">
        <v>401</v>
      </c>
      <c r="H7" s="1">
        <v>924</v>
      </c>
    </row>
    <row r="8" spans="1:12" ht="18.75" x14ac:dyDescent="0.25">
      <c r="A8" s="20">
        <v>501</v>
      </c>
      <c r="B8" s="20">
        <v>26000</v>
      </c>
      <c r="C8" s="5" t="s">
        <v>5</v>
      </c>
      <c r="F8" s="20">
        <v>402</v>
      </c>
      <c r="H8" s="1">
        <v>1100</v>
      </c>
    </row>
    <row r="9" spans="1:12" ht="18.75" x14ac:dyDescent="0.25">
      <c r="A9" s="20">
        <v>502</v>
      </c>
      <c r="B9" s="20">
        <v>25000</v>
      </c>
      <c r="C9" s="5" t="s">
        <v>5</v>
      </c>
      <c r="F9" s="20">
        <v>501</v>
      </c>
      <c r="H9" s="1">
        <v>960</v>
      </c>
    </row>
    <row r="10" spans="1:12" ht="26.25" x14ac:dyDescent="0.25">
      <c r="A10" s="21" t="s">
        <v>44</v>
      </c>
      <c r="B10" s="22">
        <f>SUM(B2:B9)</f>
        <v>174000</v>
      </c>
      <c r="C10" s="5"/>
      <c r="F10" s="20">
        <v>502</v>
      </c>
      <c r="H10" s="1">
        <v>1068</v>
      </c>
    </row>
    <row r="11" spans="1:12" ht="21" x14ac:dyDescent="0.25">
      <c r="H11" s="34">
        <v>7752</v>
      </c>
    </row>
    <row r="16" spans="1:12" x14ac:dyDescent="0.25">
      <c r="F16" t="s">
        <v>103</v>
      </c>
      <c r="G16" s="26">
        <v>174000</v>
      </c>
    </row>
    <row r="17" spans="6:7" x14ac:dyDescent="0.25">
      <c r="F17" t="s">
        <v>104</v>
      </c>
      <c r="G17" s="26">
        <v>7752</v>
      </c>
    </row>
    <row r="18" spans="6:7" ht="21" x14ac:dyDescent="0.35">
      <c r="G18" s="35">
        <v>181752</v>
      </c>
    </row>
    <row r="21" spans="6:7" x14ac:dyDescent="0.25">
      <c r="G21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15A7-A944-4813-A581-BF03C9386DF7}">
  <dimension ref="A1:E14"/>
  <sheetViews>
    <sheetView workbookViewId="0">
      <selection activeCell="B6" sqref="B6"/>
    </sheetView>
  </sheetViews>
  <sheetFormatPr defaultRowHeight="15" x14ac:dyDescent="0.25"/>
  <cols>
    <col min="1" max="1" width="20" bestFit="1" customWidth="1"/>
    <col min="2" max="2" width="13.7109375" bestFit="1" customWidth="1"/>
    <col min="3" max="3" width="14.5703125" style="37" bestFit="1" customWidth="1"/>
  </cols>
  <sheetData>
    <row r="1" spans="1:5" ht="21" x14ac:dyDescent="0.25">
      <c r="A1" s="19" t="s">
        <v>43</v>
      </c>
      <c r="B1" s="19" t="s">
        <v>8</v>
      </c>
      <c r="C1" s="19" t="s">
        <v>113</v>
      </c>
    </row>
    <row r="2" spans="1:5" ht="18.75" x14ac:dyDescent="0.25">
      <c r="A2" s="20">
        <v>201</v>
      </c>
      <c r="B2" s="20">
        <v>0</v>
      </c>
      <c r="C2" s="37">
        <v>1200</v>
      </c>
    </row>
    <row r="3" spans="1:5" ht="18.75" x14ac:dyDescent="0.25">
      <c r="A3" s="20">
        <v>202</v>
      </c>
      <c r="B3" s="20">
        <v>26000</v>
      </c>
      <c r="C3" s="37">
        <v>1200</v>
      </c>
    </row>
    <row r="4" spans="1:5" ht="18.75" x14ac:dyDescent="0.25">
      <c r="A4" s="20">
        <v>301</v>
      </c>
      <c r="B4" s="20">
        <v>26000</v>
      </c>
      <c r="C4" s="37" t="s">
        <v>112</v>
      </c>
    </row>
    <row r="5" spans="1:5" ht="18.75" x14ac:dyDescent="0.25">
      <c r="A5" s="20">
        <v>302</v>
      </c>
      <c r="B5" s="20">
        <v>32000</v>
      </c>
      <c r="D5" s="26">
        <v>10648</v>
      </c>
      <c r="E5" t="s">
        <v>78</v>
      </c>
    </row>
    <row r="6" spans="1:5" ht="18.75" x14ac:dyDescent="0.25">
      <c r="A6" s="20">
        <v>401</v>
      </c>
      <c r="B6" s="20">
        <v>50000</v>
      </c>
      <c r="C6" s="37">
        <v>824</v>
      </c>
    </row>
    <row r="7" spans="1:5" ht="18.75" x14ac:dyDescent="0.25">
      <c r="A7" s="20">
        <v>402</v>
      </c>
      <c r="B7" s="20">
        <v>27000</v>
      </c>
      <c r="C7" s="37">
        <v>1640</v>
      </c>
    </row>
    <row r="8" spans="1:5" ht="18.75" x14ac:dyDescent="0.25">
      <c r="A8" s="20">
        <v>501</v>
      </c>
      <c r="B8" s="20">
        <v>26000</v>
      </c>
      <c r="C8" s="37">
        <v>931</v>
      </c>
    </row>
    <row r="9" spans="1:5" ht="18.75" x14ac:dyDescent="0.25">
      <c r="A9" s="20">
        <v>502</v>
      </c>
      <c r="B9" s="20">
        <v>25000</v>
      </c>
      <c r="C9" s="37">
        <v>720</v>
      </c>
    </row>
    <row r="10" spans="1:5" ht="26.25" x14ac:dyDescent="0.3">
      <c r="A10" s="21" t="s">
        <v>44</v>
      </c>
      <c r="B10" s="22">
        <f>SUM(B2:B9)</f>
        <v>212000</v>
      </c>
      <c r="C10" s="38">
        <v>6515</v>
      </c>
    </row>
    <row r="11" spans="1:5" ht="26.25" x14ac:dyDescent="0.25">
      <c r="A11" s="21" t="s">
        <v>113</v>
      </c>
      <c r="B11" s="22">
        <v>6515</v>
      </c>
    </row>
    <row r="12" spans="1:5" ht="26.25" x14ac:dyDescent="0.25">
      <c r="A12" s="21" t="s">
        <v>44</v>
      </c>
      <c r="B12" s="22">
        <v>218515</v>
      </c>
    </row>
    <row r="13" spans="1:5" ht="26.25" x14ac:dyDescent="0.25">
      <c r="A13" s="21" t="s">
        <v>114</v>
      </c>
      <c r="B13" s="22">
        <v>138430</v>
      </c>
    </row>
    <row r="14" spans="1:5" ht="26.25" x14ac:dyDescent="0.25">
      <c r="A14" s="21" t="s">
        <v>78</v>
      </c>
      <c r="B14" s="22">
        <f>(B12-B13)</f>
        <v>80085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2EDC-B7BE-478E-9EC3-68C4E8FDC293}">
  <dimension ref="A1:F17"/>
  <sheetViews>
    <sheetView workbookViewId="0">
      <selection activeCell="B17" sqref="B17"/>
    </sheetView>
  </sheetViews>
  <sheetFormatPr defaultRowHeight="15" x14ac:dyDescent="0.25"/>
  <cols>
    <col min="1" max="1" width="20" bestFit="1" customWidth="1"/>
    <col min="2" max="2" width="11.5703125" bestFit="1" customWidth="1"/>
    <col min="3" max="3" width="14.7109375" bestFit="1" customWidth="1"/>
  </cols>
  <sheetData>
    <row r="1" spans="1:6" ht="21" x14ac:dyDescent="0.25">
      <c r="A1" s="19" t="s">
        <v>43</v>
      </c>
      <c r="B1" s="19" t="s">
        <v>8</v>
      </c>
      <c r="C1" s="19" t="s">
        <v>113</v>
      </c>
    </row>
    <row r="2" spans="1:6" ht="18.75" x14ac:dyDescent="0.25">
      <c r="A2" s="20">
        <v>201</v>
      </c>
      <c r="B2" s="20">
        <v>0</v>
      </c>
      <c r="C2" s="6">
        <v>1100</v>
      </c>
    </row>
    <row r="3" spans="1:6" ht="18.75" x14ac:dyDescent="0.25">
      <c r="A3" s="20">
        <v>202</v>
      </c>
      <c r="B3" s="20">
        <v>26000</v>
      </c>
      <c r="C3" s="6">
        <v>1500</v>
      </c>
    </row>
    <row r="4" spans="1:6" ht="18.75" x14ac:dyDescent="0.25">
      <c r="A4" s="20">
        <v>301</v>
      </c>
      <c r="B4" s="20">
        <v>26000</v>
      </c>
      <c r="C4" s="6">
        <v>1280</v>
      </c>
    </row>
    <row r="5" spans="1:6" ht="18.75" x14ac:dyDescent="0.25">
      <c r="A5" s="20">
        <v>302</v>
      </c>
      <c r="B5" s="20">
        <v>0</v>
      </c>
      <c r="C5" s="6">
        <v>10000</v>
      </c>
    </row>
    <row r="6" spans="1:6" ht="18.75" x14ac:dyDescent="0.25">
      <c r="A6" s="20">
        <v>401</v>
      </c>
      <c r="B6" s="20">
        <v>50000</v>
      </c>
      <c r="C6" s="6">
        <v>485</v>
      </c>
    </row>
    <row r="7" spans="1:6" ht="18.75" x14ac:dyDescent="0.25">
      <c r="A7" s="20">
        <v>402</v>
      </c>
      <c r="B7" s="20">
        <v>27000</v>
      </c>
      <c r="C7" s="6">
        <v>1570</v>
      </c>
    </row>
    <row r="8" spans="1:6" ht="18.75" x14ac:dyDescent="0.25">
      <c r="A8" s="20">
        <v>501</v>
      </c>
      <c r="B8" s="20">
        <v>26000</v>
      </c>
      <c r="C8" s="6">
        <v>1173</v>
      </c>
    </row>
    <row r="9" spans="1:6" ht="18.75" x14ac:dyDescent="0.25">
      <c r="A9" s="20">
        <v>502</v>
      </c>
      <c r="B9" s="20">
        <v>25000</v>
      </c>
      <c r="C9" s="6">
        <v>630</v>
      </c>
    </row>
    <row r="10" spans="1:6" ht="26.25" x14ac:dyDescent="0.35">
      <c r="A10" s="21" t="s">
        <v>44</v>
      </c>
      <c r="B10" s="40">
        <v>180000</v>
      </c>
      <c r="C10" s="40">
        <v>17738</v>
      </c>
    </row>
    <row r="11" spans="1:6" ht="26.25" x14ac:dyDescent="0.35">
      <c r="A11" s="21" t="s">
        <v>113</v>
      </c>
      <c r="B11" s="40">
        <v>17738</v>
      </c>
      <c r="C11" s="41"/>
    </row>
    <row r="12" spans="1:6" ht="26.25" x14ac:dyDescent="0.35">
      <c r="A12" s="21" t="s">
        <v>44</v>
      </c>
      <c r="B12" s="40">
        <v>197738</v>
      </c>
      <c r="C12" s="28"/>
    </row>
    <row r="13" spans="1:6" ht="26.25" x14ac:dyDescent="0.25">
      <c r="A13" s="21" t="s">
        <v>114</v>
      </c>
      <c r="B13" s="42">
        <v>181767</v>
      </c>
      <c r="C13" s="28"/>
      <c r="F13" s="37"/>
    </row>
    <row r="14" spans="1:6" ht="26.25" x14ac:dyDescent="0.25">
      <c r="A14" s="21" t="s">
        <v>78</v>
      </c>
      <c r="B14" s="42">
        <v>15971</v>
      </c>
      <c r="C14" s="28"/>
    </row>
    <row r="15" spans="1:6" ht="45.75" customHeight="1" x14ac:dyDescent="0.35">
      <c r="A15" s="43" t="s">
        <v>121</v>
      </c>
      <c r="B15" s="44">
        <v>5900</v>
      </c>
    </row>
    <row r="17" spans="1:3" ht="26.25" x14ac:dyDescent="0.35">
      <c r="A17" s="45" t="s">
        <v>44</v>
      </c>
      <c r="B17" s="44">
        <v>21871</v>
      </c>
      <c r="C17" s="46">
        <v>10936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946DF-1D30-41F2-92EA-4390CF9FF81F}">
  <dimension ref="A1:G79"/>
  <sheetViews>
    <sheetView tabSelected="1" topLeftCell="A63" workbookViewId="0">
      <selection activeCell="D72" sqref="D72"/>
    </sheetView>
  </sheetViews>
  <sheetFormatPr defaultRowHeight="15.75" x14ac:dyDescent="0.25"/>
  <cols>
    <col min="1" max="1" width="11.85546875" style="9" bestFit="1" customWidth="1"/>
    <col min="2" max="2" width="33" style="9" bestFit="1" customWidth="1"/>
    <col min="3" max="3" width="12.28515625" style="9" bestFit="1" customWidth="1"/>
    <col min="4" max="4" width="31.42578125" style="1" customWidth="1"/>
    <col min="5" max="5" width="38.28515625" style="1" bestFit="1" customWidth="1"/>
    <col min="6" max="6" width="38.28515625" style="1" customWidth="1"/>
    <col min="7" max="7" width="23.7109375" style="1" customWidth="1"/>
    <col min="8" max="16384" width="9.140625" style="1"/>
  </cols>
  <sheetData>
    <row r="1" spans="1:7" ht="21" x14ac:dyDescent="0.25">
      <c r="A1" s="4" t="s">
        <v>2</v>
      </c>
      <c r="B1" s="4" t="s">
        <v>7</v>
      </c>
      <c r="C1" s="4" t="s">
        <v>8</v>
      </c>
      <c r="D1" s="4" t="s">
        <v>41</v>
      </c>
      <c r="E1" s="4" t="s">
        <v>42</v>
      </c>
      <c r="F1" s="4" t="s">
        <v>26</v>
      </c>
      <c r="G1" s="4" t="s">
        <v>27</v>
      </c>
    </row>
    <row r="2" spans="1:7" x14ac:dyDescent="0.25">
      <c r="A2" s="11">
        <v>45551</v>
      </c>
      <c r="B2" s="9" t="s">
        <v>9</v>
      </c>
      <c r="C2" s="9">
        <v>400</v>
      </c>
      <c r="D2" s="14">
        <f>SUM(C1:C104)</f>
        <v>1366255</v>
      </c>
      <c r="E2" s="14">
        <v>53000</v>
      </c>
      <c r="F2" s="1">
        <f>SUM(E2:E39)</f>
        <v>373397</v>
      </c>
      <c r="G2" s="1">
        <f>(F2-D2)</f>
        <v>-992858</v>
      </c>
    </row>
    <row r="3" spans="1:7" x14ac:dyDescent="0.25">
      <c r="A3" s="11">
        <v>45556</v>
      </c>
      <c r="B3" s="9" t="s">
        <v>10</v>
      </c>
      <c r="C3" s="9">
        <v>1000</v>
      </c>
      <c r="D3" s="14"/>
      <c r="E3" s="14">
        <v>50000</v>
      </c>
    </row>
    <row r="4" spans="1:7" x14ac:dyDescent="0.25">
      <c r="A4" s="11">
        <v>45563</v>
      </c>
      <c r="B4" s="9" t="s">
        <v>38</v>
      </c>
      <c r="C4" s="9">
        <v>3000</v>
      </c>
      <c r="E4" s="17">
        <v>70000</v>
      </c>
    </row>
    <row r="5" spans="1:7" x14ac:dyDescent="0.25">
      <c r="A5" s="11">
        <v>45563</v>
      </c>
      <c r="B5" s="9" t="s">
        <v>20</v>
      </c>
      <c r="C5" s="9">
        <v>3000</v>
      </c>
      <c r="E5" s="14">
        <v>26000</v>
      </c>
    </row>
    <row r="6" spans="1:7" x14ac:dyDescent="0.25">
      <c r="A6" s="11">
        <v>45563</v>
      </c>
      <c r="B6" s="9" t="s">
        <v>20</v>
      </c>
      <c r="C6" s="9">
        <v>2500</v>
      </c>
      <c r="E6" s="18">
        <v>50000</v>
      </c>
    </row>
    <row r="7" spans="1:7" x14ac:dyDescent="0.25">
      <c r="A7" s="11">
        <v>45563</v>
      </c>
      <c r="B7" s="9" t="s">
        <v>20</v>
      </c>
      <c r="C7" s="9">
        <v>1709</v>
      </c>
      <c r="E7" s="14"/>
    </row>
    <row r="8" spans="1:7" x14ac:dyDescent="0.25">
      <c r="A8" s="11">
        <v>45563</v>
      </c>
      <c r="B8" s="9" t="s">
        <v>21</v>
      </c>
      <c r="C8" s="9">
        <v>0</v>
      </c>
    </row>
    <row r="9" spans="1:7" x14ac:dyDescent="0.25">
      <c r="A9" s="11">
        <v>45567</v>
      </c>
      <c r="B9" s="9" t="s">
        <v>37</v>
      </c>
      <c r="C9" s="9">
        <v>0</v>
      </c>
    </row>
    <row r="10" spans="1:7" x14ac:dyDescent="0.25">
      <c r="A10" s="11">
        <v>45569</v>
      </c>
      <c r="B10" s="9" t="s">
        <v>40</v>
      </c>
      <c r="C10" s="9">
        <v>150</v>
      </c>
    </row>
    <row r="11" spans="1:7" x14ac:dyDescent="0.25">
      <c r="A11" s="11">
        <v>45569</v>
      </c>
      <c r="B11" s="9" t="s">
        <v>20</v>
      </c>
      <c r="C11" s="9">
        <v>1600</v>
      </c>
    </row>
    <row r="12" spans="1:7" x14ac:dyDescent="0.25">
      <c r="A12" s="11">
        <v>45569</v>
      </c>
      <c r="B12" s="9" t="s">
        <v>38</v>
      </c>
      <c r="C12" s="9">
        <v>1500</v>
      </c>
    </row>
    <row r="13" spans="1:7" x14ac:dyDescent="0.25">
      <c r="A13" s="11">
        <v>45576</v>
      </c>
      <c r="B13" s="9" t="s">
        <v>52</v>
      </c>
      <c r="C13" s="9">
        <v>5000</v>
      </c>
    </row>
    <row r="14" spans="1:7" x14ac:dyDescent="0.25">
      <c r="A14" s="11">
        <v>45576</v>
      </c>
      <c r="B14" s="9" t="s">
        <v>53</v>
      </c>
      <c r="C14" s="9">
        <v>1000</v>
      </c>
      <c r="E14" s="9">
        <v>30345</v>
      </c>
    </row>
    <row r="15" spans="1:7" x14ac:dyDescent="0.25">
      <c r="A15" s="9" t="s">
        <v>54</v>
      </c>
      <c r="B15" s="9" t="s">
        <v>55</v>
      </c>
      <c r="C15" s="9">
        <v>100000</v>
      </c>
      <c r="E15" s="9">
        <v>94000</v>
      </c>
    </row>
    <row r="16" spans="1:7" x14ac:dyDescent="0.25">
      <c r="A16" s="11">
        <v>45584</v>
      </c>
      <c r="B16" s="9" t="s">
        <v>57</v>
      </c>
      <c r="C16" s="9">
        <v>900</v>
      </c>
      <c r="E16" s="1">
        <v>52</v>
      </c>
    </row>
    <row r="18" spans="1:7" x14ac:dyDescent="0.25">
      <c r="A18" s="11">
        <v>45598</v>
      </c>
      <c r="B18" s="9" t="s">
        <v>66</v>
      </c>
      <c r="C18" s="9">
        <v>1300</v>
      </c>
    </row>
    <row r="19" spans="1:7" x14ac:dyDescent="0.25">
      <c r="A19" s="11">
        <v>45598</v>
      </c>
      <c r="B19" s="9" t="s">
        <v>74</v>
      </c>
      <c r="C19" s="9">
        <v>200</v>
      </c>
    </row>
    <row r="20" spans="1:7" x14ac:dyDescent="0.25">
      <c r="A20" s="11">
        <v>45598</v>
      </c>
      <c r="B20" s="9" t="s">
        <v>67</v>
      </c>
      <c r="C20" s="9">
        <v>180</v>
      </c>
      <c r="F20" s="1">
        <v>2000</v>
      </c>
      <c r="G20" s="1" t="s">
        <v>6</v>
      </c>
    </row>
    <row r="21" spans="1:7" x14ac:dyDescent="0.25">
      <c r="A21" s="11">
        <v>45598</v>
      </c>
      <c r="B21" s="9" t="s">
        <v>68</v>
      </c>
      <c r="C21" s="9">
        <v>170</v>
      </c>
    </row>
    <row r="22" spans="1:7" x14ac:dyDescent="0.25">
      <c r="A22" s="11">
        <v>45598</v>
      </c>
      <c r="B22" s="9" t="s">
        <v>69</v>
      </c>
      <c r="C22" s="9">
        <v>500</v>
      </c>
    </row>
    <row r="23" spans="1:7" x14ac:dyDescent="0.25">
      <c r="A23" s="11">
        <v>45604</v>
      </c>
      <c r="B23" s="9" t="s">
        <v>72</v>
      </c>
      <c r="C23" s="9">
        <v>5400</v>
      </c>
    </row>
    <row r="24" spans="1:7" x14ac:dyDescent="0.25">
      <c r="A24" s="11">
        <v>45604</v>
      </c>
      <c r="B24" s="9" t="s">
        <v>73</v>
      </c>
      <c r="C24" s="9">
        <v>1000</v>
      </c>
    </row>
    <row r="25" spans="1:7" x14ac:dyDescent="0.25">
      <c r="A25" s="11">
        <v>45606</v>
      </c>
      <c r="B25" s="9" t="s">
        <v>75</v>
      </c>
      <c r="C25" s="9">
        <v>100000</v>
      </c>
    </row>
    <row r="26" spans="1:7" x14ac:dyDescent="0.25">
      <c r="C26" s="27">
        <v>108750</v>
      </c>
    </row>
    <row r="30" spans="1:7" x14ac:dyDescent="0.25">
      <c r="A30" s="11">
        <v>45614</v>
      </c>
      <c r="B30" s="9" t="s">
        <v>38</v>
      </c>
      <c r="C30" s="9">
        <v>1000</v>
      </c>
    </row>
    <row r="31" spans="1:7" x14ac:dyDescent="0.25">
      <c r="A31" s="11">
        <v>45614</v>
      </c>
      <c r="B31" s="9" t="s">
        <v>82</v>
      </c>
      <c r="C31" s="9">
        <v>1030</v>
      </c>
    </row>
    <row r="32" spans="1:7" x14ac:dyDescent="0.25">
      <c r="A32" s="11">
        <v>45621</v>
      </c>
      <c r="B32" s="9" t="s">
        <v>85</v>
      </c>
      <c r="C32" s="9">
        <v>23400</v>
      </c>
      <c r="D32" s="14" t="s">
        <v>86</v>
      </c>
    </row>
    <row r="33" spans="1:4" x14ac:dyDescent="0.25">
      <c r="A33" s="11">
        <v>45621</v>
      </c>
      <c r="B33" s="9" t="s">
        <v>85</v>
      </c>
      <c r="C33" s="9">
        <v>10000</v>
      </c>
      <c r="D33" s="14" t="s">
        <v>87</v>
      </c>
    </row>
    <row r="37" spans="1:4" x14ac:dyDescent="0.25">
      <c r="A37" s="11">
        <v>45640</v>
      </c>
      <c r="B37" s="9" t="s">
        <v>98</v>
      </c>
      <c r="C37" s="9">
        <v>2300</v>
      </c>
      <c r="D37" s="1">
        <v>201</v>
      </c>
    </row>
    <row r="38" spans="1:4" x14ac:dyDescent="0.25">
      <c r="A38" s="11">
        <v>45642</v>
      </c>
      <c r="B38" s="9" t="s">
        <v>38</v>
      </c>
      <c r="C38" s="9">
        <v>1100</v>
      </c>
      <c r="D38" s="1" t="s">
        <v>97</v>
      </c>
    </row>
    <row r="39" spans="1:4" x14ac:dyDescent="0.25">
      <c r="A39" s="11">
        <v>45651</v>
      </c>
      <c r="B39" s="9" t="s">
        <v>69</v>
      </c>
      <c r="C39" s="9">
        <v>500</v>
      </c>
    </row>
    <row r="40" spans="1:4" x14ac:dyDescent="0.25">
      <c r="A40" s="11">
        <v>45652</v>
      </c>
      <c r="B40" s="9" t="s">
        <v>69</v>
      </c>
      <c r="C40" s="9">
        <v>300</v>
      </c>
    </row>
    <row r="41" spans="1:4" x14ac:dyDescent="0.25">
      <c r="A41" s="11">
        <v>45662</v>
      </c>
      <c r="B41" s="9" t="s">
        <v>99</v>
      </c>
      <c r="C41" s="9">
        <v>5400</v>
      </c>
    </row>
    <row r="42" spans="1:4" x14ac:dyDescent="0.25">
      <c r="A42" s="11">
        <v>45662</v>
      </c>
      <c r="B42" s="9" t="s">
        <v>53</v>
      </c>
      <c r="C42" s="9">
        <v>1100</v>
      </c>
    </row>
    <row r="43" spans="1:4" x14ac:dyDescent="0.25">
      <c r="A43" s="11">
        <v>45662</v>
      </c>
      <c r="B43" s="9" t="s">
        <v>100</v>
      </c>
      <c r="C43" s="9">
        <v>400</v>
      </c>
    </row>
    <row r="44" spans="1:4" x14ac:dyDescent="0.25">
      <c r="A44" s="11">
        <v>45662</v>
      </c>
      <c r="B44" s="9" t="s">
        <v>101</v>
      </c>
      <c r="C44" s="9">
        <v>10466</v>
      </c>
    </row>
    <row r="45" spans="1:4" x14ac:dyDescent="0.25">
      <c r="A45" s="11">
        <v>45662</v>
      </c>
      <c r="B45" s="9" t="s">
        <v>102</v>
      </c>
      <c r="C45" s="9">
        <v>2158</v>
      </c>
    </row>
    <row r="46" spans="1:4" ht="20.25" x14ac:dyDescent="0.25">
      <c r="B46" s="33" t="s">
        <v>44</v>
      </c>
      <c r="C46" s="31">
        <v>23724</v>
      </c>
    </row>
    <row r="47" spans="1:4" ht="20.25" x14ac:dyDescent="0.25">
      <c r="B47" s="33" t="s">
        <v>89</v>
      </c>
      <c r="C47" s="31">
        <v>140000</v>
      </c>
    </row>
    <row r="48" spans="1:4" ht="20.25" x14ac:dyDescent="0.25">
      <c r="C48" s="32">
        <v>163724</v>
      </c>
    </row>
    <row r="52" spans="1:3" x14ac:dyDescent="0.25">
      <c r="A52" s="11">
        <v>45671</v>
      </c>
      <c r="B52" s="9" t="s">
        <v>110</v>
      </c>
      <c r="C52" s="9">
        <v>1700</v>
      </c>
    </row>
    <row r="53" spans="1:3" x14ac:dyDescent="0.25">
      <c r="A53" s="11">
        <v>45684</v>
      </c>
      <c r="B53" s="9" t="s">
        <v>106</v>
      </c>
      <c r="C53" s="9">
        <v>500</v>
      </c>
    </row>
    <row r="54" spans="1:3" x14ac:dyDescent="0.25">
      <c r="A54" s="11">
        <v>45686</v>
      </c>
      <c r="B54" s="9" t="s">
        <v>105</v>
      </c>
      <c r="C54" s="9">
        <v>2500</v>
      </c>
    </row>
    <row r="55" spans="1:3" x14ac:dyDescent="0.25">
      <c r="A55" s="11">
        <v>45690</v>
      </c>
      <c r="B55" s="9" t="s">
        <v>99</v>
      </c>
      <c r="C55" s="9">
        <v>5400</v>
      </c>
    </row>
    <row r="56" spans="1:3" x14ac:dyDescent="0.25">
      <c r="A56" s="11">
        <v>45690</v>
      </c>
      <c r="B56" s="9" t="s">
        <v>107</v>
      </c>
      <c r="C56" s="9">
        <v>1800</v>
      </c>
    </row>
    <row r="57" spans="1:3" x14ac:dyDescent="0.25">
      <c r="A57" s="11">
        <v>45692</v>
      </c>
      <c r="B57" s="9" t="s">
        <v>89</v>
      </c>
      <c r="C57" s="9">
        <v>100000</v>
      </c>
    </row>
    <row r="58" spans="1:3" x14ac:dyDescent="0.25">
      <c r="A58" s="11">
        <v>45682</v>
      </c>
      <c r="B58" s="9" t="s">
        <v>101</v>
      </c>
      <c r="C58" s="9">
        <v>11447</v>
      </c>
    </row>
    <row r="59" spans="1:3" x14ac:dyDescent="0.25">
      <c r="A59" s="11">
        <v>45683</v>
      </c>
      <c r="B59" s="9" t="s">
        <v>111</v>
      </c>
      <c r="C59" s="9">
        <v>8083</v>
      </c>
    </row>
    <row r="60" spans="1:3" x14ac:dyDescent="0.25">
      <c r="A60" s="11">
        <v>45692</v>
      </c>
      <c r="B60" s="9" t="s">
        <v>108</v>
      </c>
      <c r="C60" s="9">
        <v>5550</v>
      </c>
    </row>
    <row r="61" spans="1:3" x14ac:dyDescent="0.25">
      <c r="A61" s="11">
        <v>45695</v>
      </c>
      <c r="B61" s="9" t="s">
        <v>73</v>
      </c>
      <c r="C61" s="9">
        <v>1200</v>
      </c>
    </row>
    <row r="62" spans="1:3" x14ac:dyDescent="0.25">
      <c r="A62" s="11">
        <v>45697</v>
      </c>
      <c r="B62" s="9" t="s">
        <v>109</v>
      </c>
      <c r="C62" s="9">
        <v>250</v>
      </c>
    </row>
    <row r="63" spans="1:3" x14ac:dyDescent="0.25">
      <c r="B63" s="36" t="s">
        <v>44</v>
      </c>
      <c r="C63" s="27">
        <v>138430</v>
      </c>
    </row>
    <row r="64" spans="1:3" x14ac:dyDescent="0.25">
      <c r="B64" s="36" t="s">
        <v>44</v>
      </c>
    </row>
    <row r="66" spans="1:3" x14ac:dyDescent="0.25">
      <c r="A66" s="11">
        <v>45702</v>
      </c>
      <c r="B66" s="9" t="s">
        <v>116</v>
      </c>
      <c r="C66" s="9">
        <v>2842</v>
      </c>
    </row>
    <row r="67" spans="1:3" x14ac:dyDescent="0.25">
      <c r="A67" s="11">
        <v>45702</v>
      </c>
      <c r="B67" s="9" t="s">
        <v>119</v>
      </c>
      <c r="C67" s="9">
        <v>1000</v>
      </c>
    </row>
    <row r="68" spans="1:3" x14ac:dyDescent="0.25">
      <c r="A68" s="11">
        <v>45704</v>
      </c>
      <c r="B68" s="9" t="s">
        <v>118</v>
      </c>
      <c r="C68" s="9">
        <v>330</v>
      </c>
    </row>
    <row r="69" spans="1:3" x14ac:dyDescent="0.25">
      <c r="A69" s="11">
        <v>45705</v>
      </c>
      <c r="B69" s="9" t="s">
        <v>115</v>
      </c>
      <c r="C69" s="9">
        <v>660</v>
      </c>
    </row>
    <row r="70" spans="1:3" x14ac:dyDescent="0.25">
      <c r="A70" s="11">
        <v>45708</v>
      </c>
      <c r="B70" s="9" t="s">
        <v>85</v>
      </c>
      <c r="C70" s="9">
        <v>22685</v>
      </c>
    </row>
    <row r="71" spans="1:3" x14ac:dyDescent="0.25">
      <c r="A71" s="11">
        <v>45719</v>
      </c>
      <c r="B71" s="9" t="s">
        <v>72</v>
      </c>
      <c r="C71" s="9">
        <v>5400</v>
      </c>
    </row>
    <row r="72" spans="1:3" x14ac:dyDescent="0.25">
      <c r="A72" s="11">
        <v>45721</v>
      </c>
      <c r="B72" s="9" t="s">
        <v>117</v>
      </c>
      <c r="C72" s="9">
        <v>1050</v>
      </c>
    </row>
    <row r="73" spans="1:3" x14ac:dyDescent="0.25">
      <c r="A73" s="11">
        <v>45721</v>
      </c>
      <c r="B73" s="9" t="s">
        <v>89</v>
      </c>
      <c r="C73" s="9">
        <v>100000</v>
      </c>
    </row>
    <row r="74" spans="1:3" x14ac:dyDescent="0.25">
      <c r="A74" s="11">
        <v>45726</v>
      </c>
      <c r="B74" s="9" t="s">
        <v>89</v>
      </c>
      <c r="C74" s="9">
        <v>40000</v>
      </c>
    </row>
    <row r="75" spans="1:3" x14ac:dyDescent="0.25">
      <c r="A75" s="11">
        <v>45726</v>
      </c>
      <c r="B75" s="9" t="s">
        <v>73</v>
      </c>
      <c r="C75" s="9">
        <v>1200</v>
      </c>
    </row>
    <row r="76" spans="1:3" x14ac:dyDescent="0.25">
      <c r="A76" s="11">
        <v>45726</v>
      </c>
      <c r="B76" s="9" t="s">
        <v>120</v>
      </c>
      <c r="C76" s="9">
        <v>6600</v>
      </c>
    </row>
    <row r="79" spans="1:3" ht="22.5" x14ac:dyDescent="0.25">
      <c r="B79" s="39" t="s">
        <v>44</v>
      </c>
      <c r="C79" s="39">
        <v>181767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E82A3-8E7E-4FE1-9BF0-305FA208AE18}">
  <dimension ref="F6:M16"/>
  <sheetViews>
    <sheetView topLeftCell="A7" workbookViewId="0">
      <selection activeCell="L16" sqref="L16"/>
    </sheetView>
  </sheetViews>
  <sheetFormatPr defaultRowHeight="15" x14ac:dyDescent="0.25"/>
  <cols>
    <col min="9" max="9" width="15.5703125" bestFit="1" customWidth="1"/>
    <col min="13" max="13" width="15.7109375" bestFit="1" customWidth="1"/>
  </cols>
  <sheetData>
    <row r="6" spans="6:13" x14ac:dyDescent="0.25">
      <c r="F6">
        <v>227500</v>
      </c>
      <c r="G6">
        <v>40000</v>
      </c>
    </row>
    <row r="7" spans="6:13" x14ac:dyDescent="0.25">
      <c r="G7">
        <v>2000</v>
      </c>
    </row>
    <row r="8" spans="6:13" x14ac:dyDescent="0.25">
      <c r="F8">
        <v>94000</v>
      </c>
    </row>
    <row r="9" spans="6:13" x14ac:dyDescent="0.25">
      <c r="F9" s="26">
        <v>321500</v>
      </c>
      <c r="G9" s="26">
        <v>42000</v>
      </c>
    </row>
    <row r="10" spans="6:13" x14ac:dyDescent="0.25">
      <c r="I10" t="s">
        <v>58</v>
      </c>
      <c r="J10" t="s">
        <v>59</v>
      </c>
    </row>
    <row r="11" spans="6:13" x14ac:dyDescent="0.25">
      <c r="I11">
        <v>98000</v>
      </c>
      <c r="J11">
        <v>92750</v>
      </c>
    </row>
    <row r="13" spans="6:13" x14ac:dyDescent="0.25">
      <c r="J13">
        <v>5250</v>
      </c>
    </row>
    <row r="16" spans="6:13" x14ac:dyDescent="0.25">
      <c r="I16" s="26" t="s">
        <v>60</v>
      </c>
      <c r="J16" s="26">
        <v>88750</v>
      </c>
      <c r="L16">
        <v>75250</v>
      </c>
      <c r="M1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Advances_Flats</vt:lpstr>
      <vt:lpstr>201</vt:lpstr>
      <vt:lpstr>202</vt:lpstr>
      <vt:lpstr>301</vt:lpstr>
      <vt:lpstr>302</vt:lpstr>
      <vt:lpstr>401</vt:lpstr>
      <vt:lpstr>402</vt:lpstr>
      <vt:lpstr>501</vt:lpstr>
      <vt:lpstr>502</vt:lpstr>
      <vt:lpstr>Power Bills</vt:lpstr>
      <vt:lpstr>Oct_Rents</vt:lpstr>
      <vt:lpstr>Sept_Rents</vt:lpstr>
      <vt:lpstr>Nov_Rents</vt:lpstr>
      <vt:lpstr>Dec_Rents</vt:lpstr>
      <vt:lpstr>Jan-25</vt:lpstr>
      <vt:lpstr>Feb-25</vt:lpstr>
      <vt:lpstr>March-25</vt:lpstr>
      <vt:lpstr>Expenditures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 basha</dc:creator>
  <cp:lastModifiedBy>jani basha</cp:lastModifiedBy>
  <dcterms:created xsi:type="dcterms:W3CDTF">2024-09-21T07:46:08Z</dcterms:created>
  <dcterms:modified xsi:type="dcterms:W3CDTF">2025-03-11T05:12:28Z</dcterms:modified>
</cp:coreProperties>
</file>